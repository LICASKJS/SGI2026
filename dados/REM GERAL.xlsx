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beltrao\Downloads\"/>
    </mc:Choice>
  </mc:AlternateContent>
  <xr:revisionPtr revIDLastSave="0" documentId="13_ncr:1_{5293DC79-EDFF-4A16-99B6-77157A0F8709}" xr6:coauthVersionLast="47" xr6:coauthVersionMax="47" xr10:uidLastSave="{00000000-0000-0000-0000-000000000000}"/>
  <bookViews>
    <workbookView xWindow="28680" yWindow="-75" windowWidth="29040" windowHeight="15840" activeTab="4" xr2:uid="{E8E2D851-90ED-4646-ABA3-1650164FA1BF}"/>
  </bookViews>
  <sheets>
    <sheet name="RPBC" sheetId="1" r:id="rId1"/>
    <sheet name="REPLAN" sheetId="2" r:id="rId2"/>
    <sheet name="REPAR" sheetId="3" r:id="rId3"/>
    <sheet name="RNCE" sheetId="4" r:id="rId4"/>
    <sheet name="MACAÉ" sheetId="5" r:id="rId5"/>
  </sheets>
  <definedNames>
    <definedName name="_xlnm.Print_Area" localSheetId="0">RPBC!$B$1:$Q$31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5" l="1"/>
  <c r="U22" i="5"/>
  <c r="T22" i="5"/>
  <c r="S22" i="5"/>
  <c r="R22" i="5"/>
  <c r="Q22" i="5"/>
  <c r="K22" i="5"/>
  <c r="J22" i="5"/>
  <c r="I22" i="5"/>
  <c r="H22" i="5"/>
  <c r="G22" i="5"/>
  <c r="D22" i="5"/>
  <c r="C22" i="5"/>
  <c r="B22" i="5"/>
  <c r="P21" i="5"/>
  <c r="O21" i="5"/>
  <c r="N21" i="5"/>
  <c r="M21" i="5"/>
  <c r="L21" i="5"/>
  <c r="F21" i="5"/>
  <c r="N20" i="5"/>
  <c r="F20" i="5"/>
  <c r="P20" i="5" s="1"/>
  <c r="E19" i="5"/>
  <c r="E22" i="5" s="1"/>
  <c r="D19" i="5"/>
  <c r="F19" i="5" s="1"/>
  <c r="C19" i="5"/>
  <c r="B19" i="5"/>
  <c r="F18" i="5"/>
  <c r="M18" i="5" s="1"/>
  <c r="P17" i="5"/>
  <c r="F17" i="5"/>
  <c r="O17" i="5" s="1"/>
  <c r="F16" i="5"/>
  <c r="P16" i="5" s="1"/>
  <c r="P15" i="5"/>
  <c r="F15" i="5"/>
  <c r="O15" i="5" s="1"/>
  <c r="F14" i="5"/>
  <c r="P14" i="5" s="1"/>
  <c r="P13" i="5"/>
  <c r="F13" i="5"/>
  <c r="O13" i="5" s="1"/>
  <c r="F12" i="5"/>
  <c r="L12" i="5" s="1"/>
  <c r="P11" i="5"/>
  <c r="F11" i="5"/>
  <c r="O11" i="5" s="1"/>
  <c r="F10" i="5"/>
  <c r="N10" i="5" s="1"/>
  <c r="M19" i="5" l="1"/>
  <c r="P19" i="5"/>
  <c r="O19" i="5"/>
  <c r="N19" i="5"/>
  <c r="L19" i="5"/>
  <c r="L16" i="5"/>
  <c r="L10" i="5"/>
  <c r="L14" i="5"/>
  <c r="M12" i="5"/>
  <c r="M16" i="5"/>
  <c r="N12" i="5"/>
  <c r="N14" i="5"/>
  <c r="N16" i="5"/>
  <c r="N18" i="5"/>
  <c r="O10" i="5"/>
  <c r="O12" i="5"/>
  <c r="O14" i="5"/>
  <c r="O16" i="5"/>
  <c r="O18" i="5"/>
  <c r="P10" i="5"/>
  <c r="P12" i="5"/>
  <c r="P18" i="5"/>
  <c r="L20" i="5"/>
  <c r="M20" i="5"/>
  <c r="L11" i="5"/>
  <c r="L13" i="5"/>
  <c r="M11" i="5"/>
  <c r="M13" i="5"/>
  <c r="M15" i="5"/>
  <c r="M17" i="5"/>
  <c r="O20" i="5"/>
  <c r="F22" i="5"/>
  <c r="L18" i="5"/>
  <c r="M10" i="5"/>
  <c r="M14" i="5"/>
  <c r="L15" i="5"/>
  <c r="L17" i="5"/>
  <c r="N11" i="5"/>
  <c r="N13" i="5"/>
  <c r="N15" i="5"/>
  <c r="N17" i="5"/>
  <c r="P22" i="5" l="1"/>
  <c r="O22" i="5"/>
  <c r="N22" i="5"/>
  <c r="M22" i="5"/>
  <c r="L22" i="5"/>
  <c r="Q26" i="1" l="1"/>
  <c r="N26" i="1"/>
  <c r="O26" i="1"/>
  <c r="M26" i="1"/>
  <c r="P26" i="1"/>
  <c r="L26" i="1"/>
  <c r="O25" i="1"/>
  <c r="L18" i="1"/>
  <c r="M18" i="1"/>
  <c r="N18" i="1"/>
  <c r="O18" i="1"/>
  <c r="P18" i="1"/>
  <c r="Q18" i="1"/>
  <c r="L19" i="1"/>
  <c r="M19" i="1"/>
  <c r="N19" i="1"/>
  <c r="O19" i="1"/>
  <c r="P19" i="1"/>
  <c r="Q19" i="1"/>
  <c r="L20" i="1"/>
  <c r="M20" i="1"/>
  <c r="N20" i="1"/>
  <c r="O20" i="1"/>
  <c r="P20" i="1"/>
  <c r="Q20" i="1"/>
  <c r="L21" i="1"/>
  <c r="M21" i="1"/>
  <c r="N21" i="1"/>
  <c r="O21" i="1"/>
  <c r="P21" i="1"/>
  <c r="Q21" i="1"/>
  <c r="L22" i="1"/>
  <c r="M22" i="1"/>
  <c r="N22" i="1"/>
  <c r="O22" i="1"/>
  <c r="P22" i="1"/>
  <c r="Q22" i="1"/>
  <c r="L23" i="1"/>
  <c r="M23" i="1"/>
  <c r="N23" i="1"/>
  <c r="O23" i="1"/>
  <c r="P23" i="1"/>
  <c r="Q23" i="1"/>
  <c r="L24" i="1"/>
  <c r="M24" i="1"/>
  <c r="N24" i="1"/>
  <c r="O24" i="1"/>
  <c r="P24" i="1"/>
  <c r="Q24" i="1"/>
  <c r="L25" i="1"/>
  <c r="M25" i="1"/>
  <c r="N25" i="1"/>
  <c r="P25" i="1"/>
  <c r="Q25" i="1"/>
  <c r="P29" i="1"/>
  <c r="K30" i="1"/>
  <c r="J30" i="1"/>
  <c r="I30" i="1"/>
  <c r="H30" i="1"/>
  <c r="G30" i="1"/>
  <c r="D30" i="1"/>
  <c r="Q17" i="1"/>
  <c r="P17" i="1"/>
  <c r="O17" i="1"/>
  <c r="N17" i="1"/>
  <c r="M17" i="1"/>
  <c r="L17" i="1"/>
  <c r="M30" i="1" l="1"/>
  <c r="N30" i="1"/>
  <c r="Q30" i="1"/>
  <c r="P30" i="1"/>
  <c r="L30" i="1"/>
  <c r="O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 FERREIRA SOUZA SARDEMBERG DA SILVA</author>
  </authors>
  <commentList>
    <comment ref="J13" authorId="0" shapeId="0" xr:uid="{0467C18B-CC0C-480D-9AD8-B38997900CC0}">
      <text>
        <r>
          <rPr>
            <sz val="10"/>
            <rFont val="Arial"/>
          </rPr>
          <t>DANIELA FERREIRA SOUZA SARDEMBERG DA SILVA:
Excluídos os 5 de PCH-1</t>
        </r>
      </text>
    </comment>
  </commentList>
</comments>
</file>

<file path=xl/sharedStrings.xml><?xml version="1.0" encoding="utf-8"?>
<sst xmlns="http://schemas.openxmlformats.org/spreadsheetml/2006/main" count="223" uniqueCount="120">
  <si>
    <r>
      <t xml:space="preserve">PP-1PBR-00230 - GERIR ASPECTOS DE SMS EM CONTRATOS DE SERVIÇOS
</t>
    </r>
    <r>
      <rPr>
        <b/>
        <sz val="11"/>
        <color rgb="FF000000"/>
        <rFont val="Arial"/>
        <family val="2"/>
      </rPr>
      <t>ANEXO K-1 - MODELOS DE FIA, RMA E REM</t>
    </r>
  </si>
  <si>
    <t>RESUMO ESTATÍSTICO MENSAL (REM)</t>
  </si>
  <si>
    <t>UNIDADE ORGANIZACIONAL</t>
  </si>
  <si>
    <t>CONTRATADA</t>
  </si>
  <si>
    <t>MÊS / ANO</t>
  </si>
  <si>
    <t>RPBC</t>
  </si>
  <si>
    <t>ENGEMAN - MANUTENÇÃO DE EQUIPAMENTOS COM. E IND. LTDA</t>
  </si>
  <si>
    <t>NÚMERO DO CONTRATO</t>
  </si>
  <si>
    <t>GERÊNCIA CONTRATUAL</t>
  </si>
  <si>
    <t>SAPR/3</t>
  </si>
  <si>
    <t>59000121417.22.2</t>
  </si>
  <si>
    <t>MA / ED</t>
  </si>
  <si>
    <t>MÊS</t>
  </si>
  <si>
    <t>NÚMERO TOTAL DE EMPREGADOS</t>
  </si>
  <si>
    <t>HORAS HOMEM DE EXPOSIÇÃO AO RISCO</t>
  </si>
  <si>
    <t>ACIDENTES TÍPICOS</t>
  </si>
  <si>
    <t>ACIDENTADOS</t>
  </si>
  <si>
    <t>DIAS PERDIDOS</t>
  </si>
  <si>
    <t>DIAS DEBITADOS</t>
  </si>
  <si>
    <t>TAXAS</t>
  </si>
  <si>
    <t>COM AFAST.</t>
  </si>
  <si>
    <t>SEM AFAST.</t>
  </si>
  <si>
    <t>SEM AFAST. (exceto 1° socorros)</t>
  </si>
  <si>
    <t>FREQ. COM AFAST.</t>
  </si>
  <si>
    <t>FREQ. SEM AFAST.</t>
  </si>
  <si>
    <t>FREQ. SEM AFAST. (exceto 1° socorros)</t>
  </si>
  <si>
    <r>
      <t xml:space="preserve">ACIDENTADOS REGISTRÁVEIS </t>
    </r>
    <r>
      <rPr>
        <b/>
        <sz val="10"/>
        <color rgb="FF000000"/>
        <rFont val="Arial"/>
        <family val="2"/>
      </rPr>
      <t>(TAR)</t>
    </r>
  </si>
  <si>
    <r>
      <t xml:space="preserve">OCORRÊNCIAS REGISTRÁVEIS </t>
    </r>
    <r>
      <rPr>
        <b/>
        <sz val="10"/>
        <color rgb="FF000000"/>
        <rFont val="Arial"/>
        <family val="2"/>
      </rPr>
      <t>(TOR)</t>
    </r>
  </si>
  <si>
    <r>
      <t xml:space="preserve">GRAVIDADE
</t>
    </r>
    <r>
      <rPr>
        <b/>
        <sz val="10"/>
        <color rgb="FF000000"/>
        <rFont val="Arial"/>
        <family val="2"/>
      </rPr>
      <t>(TG)</t>
    </r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</si>
  <si>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</si>
  <si>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</si>
  <si>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</si>
  <si>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</si>
  <si>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</si>
  <si>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</si>
  <si>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</si>
  <si>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</si>
  <si>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</si>
  <si>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</si>
  <si>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</si>
  <si>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</si>
  <si>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</si>
  <si>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r>
      <rPr>
        <sz val="10"/>
        <color indexed="8"/>
        <rFont val="Arial"/>
        <family val="2"/>
      </rPr>
      <t>PP-1PBR-00230 - GERIR ASPECTOS DE SMS EM CONTRATOS DE SERVIÇOS</t>
    </r>
    <r>
      <rPr>
        <sz val="11"/>
        <color indexed="8"/>
        <rFont val="Arial"/>
        <family val="2"/>
      </rPr>
      <t xml:space="preserve">
</t>
    </r>
    <r>
      <rPr>
        <b/>
        <sz val="11"/>
        <color indexed="8"/>
        <rFont val="Arial"/>
        <family val="2"/>
      </rPr>
      <t>ANEXO J - MODELOS DE FIA, RMA E REM</t>
    </r>
  </si>
  <si>
    <t>REPLAN</t>
  </si>
  <si>
    <t>5900.0121417.22.2</t>
  </si>
  <si>
    <t>REPLAN - MA / ED</t>
  </si>
  <si>
    <t xml:space="preserve">ACIDENTADOS </t>
  </si>
  <si>
    <r>
      <t xml:space="preserve">ACIDENTADOS REGISTRÁVEIS </t>
    </r>
    <r>
      <rPr>
        <b/>
        <sz val="10"/>
        <color theme="1"/>
        <rFont val="Arial"/>
        <family val="2"/>
      </rPr>
      <t>(TAR)</t>
    </r>
  </si>
  <si>
    <r>
      <t xml:space="preserve">GRAVIDADE
</t>
    </r>
    <r>
      <rPr>
        <b/>
        <sz val="10"/>
        <color theme="1"/>
        <rFont val="Arial"/>
        <family val="2"/>
      </rPr>
      <t>(TG)</t>
    </r>
  </si>
  <si>
    <t>ASSINATURA - GERENTE DO CONTRATO (PETROBRAS)</t>
  </si>
  <si>
    <t>ASSINATURA - GERENTE DO CONTRATO (CONTRATADA)</t>
  </si>
  <si>
    <t>DATA</t>
  </si>
  <si>
    <r>
      <rPr>
        <sz val="10"/>
        <color indexed="8"/>
        <rFont val="Arial"/>
        <family val="2"/>
      </rPr>
      <t>PP-1PBR-00230 - GERIR ASPECTOS DE SMS EM CONTRATOS DE SERVIÇOS</t>
    </r>
    <r>
      <rPr>
        <sz val="11"/>
        <color indexed="8"/>
        <rFont val="Arial"/>
        <family val="2"/>
      </rPr>
      <t xml:space="preserve">
</t>
    </r>
    <r>
      <rPr>
        <b/>
        <sz val="11"/>
        <color indexed="8"/>
        <rFont val="Arial"/>
        <family val="2"/>
      </rPr>
      <t>ANEXO K - MODELOS DE FIA, RMA E REM</t>
    </r>
  </si>
  <si>
    <t>UO- REPAR</t>
  </si>
  <si>
    <t>ENGEMAN - Manutenção de Equipamentos Comércio e Indústria Ltda</t>
  </si>
  <si>
    <t>NÚMERO DO CONTRATO (JURIDICO)</t>
  </si>
  <si>
    <t>GERÊNCIA RESPONSAVEL PELO CONTRATO</t>
  </si>
  <si>
    <t>CONTRATO SAP/R3</t>
  </si>
  <si>
    <t>5900.0125761.23.2</t>
  </si>
  <si>
    <t>MA/ED</t>
  </si>
  <si>
    <t>Nº DE OCORRÊNCIAS REGISTRADAS</t>
  </si>
  <si>
    <t>DESVIO CRÍTICO</t>
  </si>
  <si>
    <t>INCIDENTE DE ALTO POTENCIAL</t>
  </si>
  <si>
    <t>ACIDENTE AMBIENTAL</t>
  </si>
  <si>
    <t>SEM AFAST. (somente 1º socorros)</t>
  </si>
  <si>
    <r>
      <t xml:space="preserve">TAXA ACIDENTADOS REGISTRÁVEIS </t>
    </r>
    <r>
      <rPr>
        <b/>
        <sz val="10"/>
        <color theme="1"/>
        <rFont val="Arial"/>
        <family val="2"/>
      </rPr>
      <t>(TAR)</t>
    </r>
  </si>
  <si>
    <r>
      <t xml:space="preserve">Taxa de Ocorrências Registraveis
</t>
    </r>
    <r>
      <rPr>
        <b/>
        <sz val="10"/>
        <color theme="1"/>
        <rFont val="Arial"/>
        <family val="2"/>
      </rPr>
      <t>(TOR)</t>
    </r>
  </si>
  <si>
    <r>
      <rPr>
        <sz val="10"/>
        <color rgb="FF000000"/>
        <rFont val="Arial"/>
        <charset val="134"/>
      </rPr>
      <t>PP-1PBR-00230 - GERIR ASPECTOS DE SMS EM CONTRATOS DE SERVIÇOS</t>
    </r>
    <r>
      <rPr>
        <sz val="11"/>
        <color rgb="FF000000"/>
        <rFont val="Arial"/>
        <charset val="134"/>
      </rPr>
      <t xml:space="preserve">
</t>
    </r>
    <r>
      <rPr>
        <b/>
        <sz val="11"/>
        <color rgb="FF000000"/>
        <rFont val="Arial"/>
        <charset val="134"/>
      </rPr>
      <t>ANEXO K - MODELOS DE FIA, RMA E REM</t>
    </r>
  </si>
  <si>
    <t xml:space="preserve">GAD/GIAD/GIAD/RNCE </t>
  </si>
  <si>
    <t xml:space="preserve"> ENGEMAN</t>
  </si>
  <si>
    <t xml:space="preserve"> 5900.0124075.23.2</t>
  </si>
  <si>
    <t>GAD/GIAD/GIAD-RNCE</t>
  </si>
  <si>
    <r>
      <rPr>
        <sz val="10"/>
        <color theme="1"/>
        <rFont val="Arial"/>
        <charset val="134"/>
      </rPr>
      <t xml:space="preserve">TAXA ACIDENTADOS REGISTRÁVEIS </t>
    </r>
    <r>
      <rPr>
        <b/>
        <sz val="10"/>
        <color theme="1"/>
        <rFont val="Arial"/>
        <charset val="134"/>
      </rPr>
      <t>(TAR)</t>
    </r>
  </si>
  <si>
    <r>
      <rPr>
        <sz val="10"/>
        <color theme="1"/>
        <rFont val="Arial"/>
        <charset val="134"/>
      </rPr>
      <t xml:space="preserve">TAXA DE OCORRÊNCIAS REGISTRÁVEIS
</t>
    </r>
    <r>
      <rPr>
        <b/>
        <sz val="10"/>
        <color theme="1"/>
        <rFont val="Arial"/>
        <charset val="134"/>
      </rPr>
      <t>(TOR)</t>
    </r>
  </si>
  <si>
    <r>
      <rPr>
        <sz val="10"/>
        <color theme="1"/>
        <rFont val="Arial"/>
        <charset val="134"/>
      </rPr>
      <t xml:space="preserve">TAXA DE GRAVIDADE
</t>
    </r>
    <r>
      <rPr>
        <b/>
        <sz val="10"/>
        <color theme="1"/>
        <rFont val="Arial"/>
        <charset val="134"/>
      </rPr>
      <t>(TG)</t>
    </r>
  </si>
  <si>
    <t xml:space="preserve">                        RESUMO ESTATÍSTICO MENSAL (REM)</t>
  </si>
  <si>
    <t>GERÊNCIA</t>
  </si>
  <si>
    <t>FILIAL MACAÉ-RJ</t>
  </si>
  <si>
    <t>ENGEMAN MANUTENÇÃO DE EQUIPAMENTOS INDÚSTRIA E COMÉRCIO LTDA</t>
  </si>
  <si>
    <t>CONTRATO JURÍDICO</t>
  </si>
  <si>
    <t xml:space="preserve">UNIDADE/LOTE </t>
  </si>
  <si>
    <t>CONTRATO</t>
  </si>
  <si>
    <t>CONSOLIDADO</t>
  </si>
  <si>
    <t>GERAL - MACAÉ</t>
  </si>
  <si>
    <t>Geral</t>
  </si>
  <si>
    <t>Mês</t>
  </si>
  <si>
    <t>Total de Empregados</t>
  </si>
  <si>
    <t>Horas - Homem de Exposição ao Risco</t>
  </si>
  <si>
    <t>Acidente Típico</t>
  </si>
  <si>
    <t>Acidente de Trajeto</t>
  </si>
  <si>
    <t>Acidente Típico Subcontratada</t>
  </si>
  <si>
    <t xml:space="preserve">Ocorrência Equiparada </t>
  </si>
  <si>
    <t xml:space="preserve">Doença Ocupacional </t>
  </si>
  <si>
    <t>Acidentes/Ocorrências Ambientais</t>
  </si>
  <si>
    <t>ON</t>
  </si>
  <si>
    <t>OFF</t>
  </si>
  <si>
    <t>TOTAL</t>
  </si>
  <si>
    <t>DP</t>
  </si>
  <si>
    <t>Primeiros Socorros</t>
  </si>
  <si>
    <t>ASA</t>
  </si>
  <si>
    <t>ACA</t>
  </si>
  <si>
    <t>AF</t>
  </si>
  <si>
    <t>TOR</t>
  </si>
  <si>
    <t>TAR</t>
  </si>
  <si>
    <t>TFSA</t>
  </si>
  <si>
    <t>TFCA</t>
  </si>
  <si>
    <t>TG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</si>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</sst>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70" formatCode="mmmm\,\ yyyy;@"/>
    <numFmt numFmtId="181" formatCode="mmmm/yyyy"/>
  </numFmts>
  <fonts count="58">
    <font>
      <sz val="11"/>
      <color rgb="FF000000"/>
      <name val="Liberation Sans"/>
    </font>
    <font>
      <sz val="11"/>
      <color theme="1"/>
      <name val="Aptos Narrow"/>
      <family val="2"/>
      <scheme val="minor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rgb="FF333333"/>
      <name val="Liberation Sans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Helvetica"/>
    </font>
    <font>
      <sz val="12"/>
      <color rgb="FF000000"/>
      <name val="Arial1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b/>
      <u/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indexed="8"/>
      <name val="Calibri"/>
      <family val="2"/>
      <charset val="1"/>
    </font>
    <font>
      <b/>
      <sz val="9"/>
      <color theme="1"/>
      <name val="Arial"/>
      <family val="2"/>
    </font>
    <font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sz val="11"/>
      <color rgb="FF000000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b/>
      <u/>
      <sz val="11"/>
      <color theme="1"/>
      <name val="Arial"/>
      <charset val="134"/>
    </font>
    <font>
      <sz val="9"/>
      <color rgb="FF1F1F1F"/>
      <name val="Arial"/>
      <charset val="134"/>
    </font>
    <font>
      <sz val="10"/>
      <color theme="1"/>
      <name val="Aptos Narrow"/>
      <charset val="134"/>
      <scheme val="minor"/>
    </font>
    <font>
      <sz val="11"/>
      <name val="Arial"/>
      <charset val="134"/>
    </font>
    <font>
      <b/>
      <sz val="11"/>
      <color rgb="FF000000"/>
      <name val="Arial"/>
      <charset val="134"/>
    </font>
    <font>
      <b/>
      <u/>
      <sz val="24"/>
      <color theme="1"/>
      <name val="Arial"/>
      <family val="2"/>
    </font>
    <font>
      <b/>
      <sz val="48"/>
      <color theme="1"/>
      <name val="Arial"/>
      <family val="2"/>
    </font>
    <font>
      <b/>
      <u/>
      <sz val="48"/>
      <color theme="1"/>
      <name val="Arial"/>
      <family val="2"/>
    </font>
    <font>
      <sz val="18"/>
      <color theme="1"/>
      <name val="Arial"/>
      <family val="2"/>
    </font>
    <font>
      <b/>
      <i/>
      <sz val="18"/>
      <color theme="1"/>
      <name val="Arial"/>
      <family val="2"/>
    </font>
    <font>
      <sz val="12"/>
      <name val="Arial"/>
      <family val="2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theme="2"/>
        <bgColor indexed="64"/>
      </patternFill>
    </fill>
  </fills>
  <borders count="8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hair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indexed="64"/>
      </right>
      <top style="hair">
        <color indexed="64"/>
      </top>
      <bottom/>
      <diagonal/>
    </border>
    <border>
      <left style="medium">
        <color rgb="FF000000"/>
      </left>
      <right style="thin">
        <color indexed="64"/>
      </right>
      <top style="hair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0" fontId="7" fillId="0" borderId="0" applyNumberFormat="0" applyBorder="0" applyProtection="0"/>
    <xf numFmtId="0" fontId="8" fillId="7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8" borderId="0" applyNumberFormat="0" applyBorder="0" applyProtection="0"/>
    <xf numFmtId="0" fontId="14" fillId="0" borderId="0" applyNumberFormat="0" applyBorder="0" applyProtection="0"/>
    <xf numFmtId="0" fontId="15" fillId="8" borderId="1" applyNumberFormat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1" fillId="0" borderId="0"/>
    <xf numFmtId="0" fontId="35" fillId="0" borderId="0"/>
    <xf numFmtId="0" fontId="1" fillId="0" borderId="0"/>
    <xf numFmtId="0" fontId="32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8" fillId="0" borderId="0">
      <alignment vertical="center"/>
    </xf>
    <xf numFmtId="0" fontId="49" fillId="0" borderId="0"/>
    <xf numFmtId="0" fontId="37" fillId="0" borderId="0"/>
    <xf numFmtId="0" fontId="45" fillId="0" borderId="0"/>
    <xf numFmtId="0" fontId="37" fillId="0" borderId="0"/>
    <xf numFmtId="0" fontId="45" fillId="0" borderId="0"/>
    <xf numFmtId="0" fontId="37" fillId="0" borderId="0"/>
    <xf numFmtId="0" fontId="42" fillId="0" borderId="0"/>
    <xf numFmtId="0" fontId="42" fillId="0" borderId="0"/>
    <xf numFmtId="0" fontId="37" fillId="0" borderId="0"/>
    <xf numFmtId="0" fontId="37" fillId="0" borderId="0"/>
    <xf numFmtId="0" fontId="42" fillId="0" borderId="0"/>
    <xf numFmtId="0" fontId="45" fillId="0" borderId="0" applyNumberFormat="0"/>
    <xf numFmtId="0" fontId="39" fillId="0" borderId="0" applyFill="0" applyBorder="0"/>
    <xf numFmtId="0" fontId="39" fillId="0" borderId="0"/>
    <xf numFmtId="0" fontId="39" fillId="0" borderId="0"/>
  </cellStyleXfs>
  <cellXfs count="311">
    <xf numFmtId="0" fontId="0" fillId="0" borderId="0" xfId="0"/>
    <xf numFmtId="0" fontId="0" fillId="0" borderId="0" xfId="0" applyAlignment="1">
      <alignment wrapText="1"/>
    </xf>
    <xf numFmtId="0" fontId="16" fillId="0" borderId="2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16" fillId="0" borderId="6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11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8" xfId="0" applyFont="1" applyBorder="1" applyAlignment="1">
      <alignment horizontal="center" vertical="center" wrapText="1"/>
    </xf>
    <xf numFmtId="2" fontId="16" fillId="12" borderId="8" xfId="0" applyNumberFormat="1" applyFont="1" applyFill="1" applyBorder="1" applyAlignment="1">
      <alignment horizontal="center" wrapText="1"/>
    </xf>
    <xf numFmtId="164" fontId="16" fillId="12" borderId="8" xfId="0" applyNumberFormat="1" applyFont="1" applyFill="1" applyBorder="1" applyAlignment="1">
      <alignment horizontal="center" wrapText="1"/>
    </xf>
    <xf numFmtId="1" fontId="16" fillId="12" borderId="8" xfId="0" applyNumberFormat="1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2" fontId="16" fillId="12" borderId="8" xfId="0" applyNumberFormat="1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8" xfId="0" applyFont="1" applyBorder="1"/>
    <xf numFmtId="0" fontId="19" fillId="10" borderId="8" xfId="0" applyFont="1" applyFill="1" applyBorder="1" applyAlignment="1">
      <alignment horizontal="center" wrapText="1"/>
    </xf>
    <xf numFmtId="2" fontId="16" fillId="12" borderId="8" xfId="0" applyNumberFormat="1" applyFont="1" applyFill="1" applyBorder="1" applyAlignment="1">
      <alignment horizontal="center" vertical="center" wrapText="1"/>
    </xf>
    <xf numFmtId="2" fontId="16" fillId="0" borderId="8" xfId="0" applyNumberFormat="1" applyFont="1" applyBorder="1" applyAlignment="1">
      <alignment horizontal="center" vertical="center" wrapText="1"/>
    </xf>
    <xf numFmtId="0" fontId="0" fillId="0" borderId="8" xfId="0" applyBorder="1"/>
    <xf numFmtId="0" fontId="19" fillId="10" borderId="8" xfId="0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3" fontId="22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top" wrapText="1"/>
    </xf>
    <xf numFmtId="17" fontId="21" fillId="0" borderId="8" xfId="0" applyNumberFormat="1" applyFont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top" wrapText="1"/>
    </xf>
    <xf numFmtId="0" fontId="28" fillId="0" borderId="22" xfId="19" applyFont="1" applyBorder="1" applyAlignment="1">
      <alignment horizontal="center"/>
    </xf>
    <xf numFmtId="0" fontId="28" fillId="0" borderId="21" xfId="19" applyFont="1" applyBorder="1" applyAlignment="1">
      <alignment horizontal="center"/>
    </xf>
    <xf numFmtId="0" fontId="28" fillId="0" borderId="23" xfId="19" applyFont="1" applyBorder="1" applyAlignment="1">
      <alignment horizontal="center"/>
    </xf>
    <xf numFmtId="0" fontId="29" fillId="15" borderId="21" xfId="19" applyFont="1" applyFill="1" applyBorder="1" applyAlignment="1">
      <alignment horizontal="center" vertical="center"/>
    </xf>
    <xf numFmtId="0" fontId="29" fillId="15" borderId="22" xfId="19" applyFont="1" applyFill="1" applyBorder="1" applyAlignment="1">
      <alignment horizontal="center" vertical="center"/>
    </xf>
    <xf numFmtId="0" fontId="29" fillId="15" borderId="23" xfId="19" applyFont="1" applyFill="1" applyBorder="1" applyAlignment="1">
      <alignment horizontal="center" vertical="center"/>
    </xf>
    <xf numFmtId="0" fontId="29" fillId="13" borderId="13" xfId="19" applyFont="1" applyFill="1" applyBorder="1" applyAlignment="1">
      <alignment horizontal="center" vertical="center"/>
    </xf>
    <xf numFmtId="0" fontId="29" fillId="13" borderId="14" xfId="19" applyFont="1" applyFill="1" applyBorder="1" applyAlignment="1">
      <alignment horizontal="center" vertical="center"/>
    </xf>
    <xf numFmtId="0" fontId="29" fillId="13" borderId="18" xfId="19" applyFont="1" applyFill="1" applyBorder="1" applyAlignment="1">
      <alignment horizontal="center" vertical="center"/>
    </xf>
    <xf numFmtId="0" fontId="29" fillId="13" borderId="19" xfId="19" applyFont="1" applyFill="1" applyBorder="1" applyAlignment="1">
      <alignment horizontal="center" vertical="center"/>
    </xf>
    <xf numFmtId="0" fontId="29" fillId="15" borderId="9" xfId="19" applyFont="1" applyFill="1" applyBorder="1" applyAlignment="1">
      <alignment horizontal="center" vertical="center"/>
    </xf>
    <xf numFmtId="0" fontId="29" fillId="13" borderId="9" xfId="19" applyFont="1" applyFill="1" applyBorder="1" applyAlignment="1">
      <alignment horizontal="center" vertical="center"/>
    </xf>
    <xf numFmtId="0" fontId="28" fillId="0" borderId="13" xfId="19" applyFont="1" applyBorder="1" applyAlignment="1">
      <alignment horizontal="center" vertical="center"/>
    </xf>
    <xf numFmtId="0" fontId="28" fillId="0" borderId="14" xfId="19" applyFont="1" applyBorder="1" applyAlignment="1">
      <alignment horizontal="center" vertical="center"/>
    </xf>
    <xf numFmtId="0" fontId="28" fillId="0" borderId="15" xfId="19" applyFont="1" applyBorder="1" applyAlignment="1">
      <alignment horizontal="center" vertical="center"/>
    </xf>
    <xf numFmtId="0" fontId="28" fillId="0" borderId="18" xfId="19" applyFont="1" applyBorder="1" applyAlignment="1">
      <alignment horizontal="center" vertical="center"/>
    </xf>
    <xf numFmtId="0" fontId="28" fillId="0" borderId="19" xfId="19" applyFont="1" applyBorder="1" applyAlignment="1">
      <alignment horizontal="center" vertical="center"/>
    </xf>
    <xf numFmtId="0" fontId="28" fillId="0" borderId="20" xfId="19" applyFont="1" applyBorder="1" applyAlignment="1">
      <alignment horizontal="center" vertical="center"/>
    </xf>
    <xf numFmtId="0" fontId="24" fillId="13" borderId="0" xfId="19" applyFont="1" applyFill="1" applyAlignment="1">
      <alignment horizontal="center" vertical="center" wrapText="1"/>
    </xf>
    <xf numFmtId="0" fontId="31" fillId="0" borderId="21" xfId="19" applyFont="1" applyBorder="1" applyAlignment="1">
      <alignment horizontal="center" vertical="center" wrapText="1"/>
    </xf>
    <xf numFmtId="0" fontId="29" fillId="15" borderId="10" xfId="19" applyFont="1" applyFill="1" applyBorder="1" applyAlignment="1">
      <alignment horizontal="center" vertical="center" wrapText="1"/>
    </xf>
    <xf numFmtId="0" fontId="29" fillId="15" borderId="11" xfId="19" applyFont="1" applyFill="1" applyBorder="1" applyAlignment="1">
      <alignment horizontal="center" vertical="center" wrapText="1"/>
    </xf>
    <xf numFmtId="0" fontId="29" fillId="15" borderId="12" xfId="19" applyFont="1" applyFill="1" applyBorder="1" applyAlignment="1">
      <alignment horizontal="center" vertical="center" wrapText="1"/>
    </xf>
    <xf numFmtId="0" fontId="29" fillId="15" borderId="14" xfId="19" applyFont="1" applyFill="1" applyBorder="1" applyAlignment="1">
      <alignment horizontal="center" vertical="center" wrapText="1"/>
    </xf>
    <xf numFmtId="0" fontId="29" fillId="15" borderId="15" xfId="19" applyFont="1" applyFill="1" applyBorder="1" applyAlignment="1">
      <alignment horizontal="center" vertical="center" wrapText="1"/>
    </xf>
    <xf numFmtId="0" fontId="29" fillId="15" borderId="17" xfId="19" applyFont="1" applyFill="1" applyBorder="1" applyAlignment="1">
      <alignment horizontal="center" vertical="center" wrapText="1"/>
    </xf>
    <xf numFmtId="0" fontId="29" fillId="15" borderId="19" xfId="19" applyFont="1" applyFill="1" applyBorder="1" applyAlignment="1">
      <alignment horizontal="center" vertical="center" wrapText="1"/>
    </xf>
    <xf numFmtId="0" fontId="29" fillId="15" borderId="20" xfId="19" applyFont="1" applyFill="1" applyBorder="1" applyAlignment="1">
      <alignment horizontal="center" vertical="center" wrapText="1"/>
    </xf>
    <xf numFmtId="0" fontId="28" fillId="15" borderId="10" xfId="19" applyFont="1" applyFill="1" applyBorder="1" applyAlignment="1">
      <alignment horizontal="center" vertical="center" wrapText="1"/>
    </xf>
    <xf numFmtId="0" fontId="28" fillId="15" borderId="12" xfId="19" applyFont="1" applyFill="1" applyBorder="1" applyAlignment="1">
      <alignment horizontal="center" vertical="center" wrapText="1"/>
    </xf>
    <xf numFmtId="0" fontId="29" fillId="13" borderId="20" xfId="19" applyFont="1" applyFill="1" applyBorder="1" applyAlignment="1">
      <alignment horizontal="center" vertical="center"/>
    </xf>
    <xf numFmtId="0" fontId="14" fillId="0" borderId="21" xfId="19" applyFont="1" applyBorder="1" applyAlignment="1">
      <alignment horizontal="center"/>
    </xf>
    <xf numFmtId="0" fontId="29" fillId="13" borderId="15" xfId="19" applyFont="1" applyFill="1" applyBorder="1" applyAlignment="1">
      <alignment horizontal="center" vertical="center"/>
    </xf>
    <xf numFmtId="0" fontId="1" fillId="0" borderId="0" xfId="19"/>
    <xf numFmtId="0" fontId="28" fillId="0" borderId="0" xfId="19" applyFont="1"/>
    <xf numFmtId="0" fontId="28" fillId="0" borderId="0" xfId="19" applyFont="1" applyAlignment="1">
      <alignment horizontal="center"/>
    </xf>
    <xf numFmtId="0" fontId="28" fillId="0" borderId="9" xfId="19" applyFont="1" applyBorder="1"/>
    <xf numFmtId="0" fontId="28" fillId="0" borderId="9" xfId="19" applyFont="1" applyBorder="1" applyAlignment="1">
      <alignment horizontal="center"/>
    </xf>
    <xf numFmtId="0" fontId="28" fillId="16" borderId="9" xfId="19" applyFont="1" applyFill="1" applyBorder="1" applyAlignment="1">
      <alignment horizontal="center" vertical="center"/>
    </xf>
    <xf numFmtId="0" fontId="28" fillId="0" borderId="9" xfId="19" applyFont="1" applyBorder="1" applyAlignment="1">
      <alignment horizontal="center" vertical="center"/>
    </xf>
    <xf numFmtId="0" fontId="28" fillId="0" borderId="0" xfId="19" applyFont="1" applyAlignment="1">
      <alignment horizontal="center" vertical="center"/>
    </xf>
    <xf numFmtId="0" fontId="29" fillId="15" borderId="9" xfId="19" applyFont="1" applyFill="1" applyBorder="1" applyAlignment="1">
      <alignment vertical="center"/>
    </xf>
    <xf numFmtId="0" fontId="28" fillId="15" borderId="9" xfId="19" applyFont="1" applyFill="1" applyBorder="1" applyAlignment="1">
      <alignment horizontal="center" vertical="center" wrapText="1"/>
    </xf>
    <xf numFmtId="0" fontId="14" fillId="0" borderId="22" xfId="19" applyFont="1" applyBorder="1" applyAlignment="1">
      <alignment horizontal="center"/>
    </xf>
    <xf numFmtId="0" fontId="14" fillId="0" borderId="23" xfId="19" applyFont="1" applyBorder="1" applyAlignment="1">
      <alignment horizontal="center"/>
    </xf>
    <xf numFmtId="0" fontId="29" fillId="15" borderId="21" xfId="19" applyFont="1" applyFill="1" applyBorder="1" applyAlignment="1">
      <alignment horizontal="center"/>
    </xf>
    <xf numFmtId="0" fontId="29" fillId="15" borderId="23" xfId="19" applyFont="1" applyFill="1" applyBorder="1" applyAlignment="1">
      <alignment horizontal="center"/>
    </xf>
    <xf numFmtId="0" fontId="28" fillId="16" borderId="21" xfId="19" applyFont="1" applyFill="1" applyBorder="1" applyAlignment="1">
      <alignment horizontal="center" vertical="center"/>
    </xf>
    <xf numFmtId="0" fontId="28" fillId="16" borderId="22" xfId="19" applyFont="1" applyFill="1" applyBorder="1" applyAlignment="1">
      <alignment horizontal="center" vertical="center"/>
    </xf>
    <xf numFmtId="0" fontId="28" fillId="16" borderId="23" xfId="19" applyFont="1" applyFill="1" applyBorder="1" applyAlignment="1">
      <alignment horizontal="center" vertical="center"/>
    </xf>
    <xf numFmtId="14" fontId="29" fillId="13" borderId="13" xfId="19" applyNumberFormat="1" applyFont="1" applyFill="1" applyBorder="1" applyAlignment="1">
      <alignment horizontal="center" vertical="center"/>
    </xf>
    <xf numFmtId="14" fontId="29" fillId="13" borderId="15" xfId="19" applyNumberFormat="1" applyFont="1" applyFill="1" applyBorder="1" applyAlignment="1">
      <alignment horizontal="center" vertical="center"/>
    </xf>
    <xf numFmtId="14" fontId="29" fillId="13" borderId="18" xfId="19" applyNumberFormat="1" applyFont="1" applyFill="1" applyBorder="1" applyAlignment="1">
      <alignment horizontal="center" vertical="center"/>
    </xf>
    <xf numFmtId="14" fontId="29" fillId="13" borderId="20" xfId="19" applyNumberFormat="1" applyFont="1" applyFill="1" applyBorder="1" applyAlignment="1">
      <alignment horizontal="center" vertical="center"/>
    </xf>
    <xf numFmtId="17" fontId="28" fillId="0" borderId="13" xfId="19" applyNumberFormat="1" applyFont="1" applyBorder="1" applyAlignment="1">
      <alignment horizontal="center" vertical="center"/>
    </xf>
    <xf numFmtId="17" fontId="28" fillId="0" borderId="15" xfId="19" applyNumberFormat="1" applyFont="1" applyBorder="1" applyAlignment="1">
      <alignment horizontal="center" vertical="center"/>
    </xf>
    <xf numFmtId="17" fontId="28" fillId="0" borderId="18" xfId="19" applyNumberFormat="1" applyFont="1" applyBorder="1" applyAlignment="1">
      <alignment horizontal="center" vertical="center"/>
    </xf>
    <xf numFmtId="17" fontId="28" fillId="0" borderId="20" xfId="19" applyNumberFormat="1" applyFont="1" applyBorder="1" applyAlignment="1">
      <alignment horizontal="center" vertical="center"/>
    </xf>
    <xf numFmtId="0" fontId="28" fillId="0" borderId="13" xfId="19" applyFont="1" applyBorder="1" applyAlignment="1">
      <alignment horizontal="center" vertical="center" wrapText="1"/>
    </xf>
    <xf numFmtId="0" fontId="28" fillId="0" borderId="14" xfId="19" applyFont="1" applyBorder="1" applyAlignment="1">
      <alignment horizontal="center" vertical="center" wrapText="1"/>
    </xf>
    <xf numFmtId="0" fontId="28" fillId="0" borderId="15" xfId="19" applyFont="1" applyBorder="1" applyAlignment="1">
      <alignment horizontal="center" vertical="center" wrapText="1"/>
    </xf>
    <xf numFmtId="0" fontId="28" fillId="0" borderId="18" xfId="19" applyFont="1" applyBorder="1" applyAlignment="1">
      <alignment horizontal="center" vertical="center" wrapText="1"/>
    </xf>
    <xf numFmtId="0" fontId="28" fillId="0" borderId="19" xfId="19" applyFont="1" applyBorder="1" applyAlignment="1">
      <alignment horizontal="center" vertical="center" wrapText="1"/>
    </xf>
    <xf numFmtId="0" fontId="28" fillId="0" borderId="20" xfId="19" applyFont="1" applyBorder="1" applyAlignment="1">
      <alignment horizontal="center" vertical="center" wrapText="1"/>
    </xf>
    <xf numFmtId="0" fontId="29" fillId="15" borderId="21" xfId="19" applyFont="1" applyFill="1" applyBorder="1" applyAlignment="1">
      <alignment horizontal="center" vertical="center" wrapText="1"/>
    </xf>
    <xf numFmtId="0" fontId="29" fillId="15" borderId="22" xfId="19" applyFont="1" applyFill="1" applyBorder="1" applyAlignment="1">
      <alignment horizontal="center" vertical="center" wrapText="1"/>
    </xf>
    <xf numFmtId="0" fontId="29" fillId="15" borderId="23" xfId="19" applyFont="1" applyFill="1" applyBorder="1" applyAlignment="1">
      <alignment horizontal="center" vertical="center" wrapText="1"/>
    </xf>
    <xf numFmtId="0" fontId="29" fillId="15" borderId="13" xfId="19" applyFont="1" applyFill="1" applyBorder="1" applyAlignment="1">
      <alignment horizontal="center" vertical="center" wrapText="1"/>
    </xf>
    <xf numFmtId="0" fontId="29" fillId="15" borderId="16" xfId="19" applyFont="1" applyFill="1" applyBorder="1" applyAlignment="1">
      <alignment horizontal="center" vertical="center" wrapText="1"/>
    </xf>
    <xf numFmtId="0" fontId="29" fillId="15" borderId="0" xfId="19" applyFont="1" applyFill="1" applyBorder="1" applyAlignment="1">
      <alignment horizontal="center" vertical="center" wrapText="1"/>
    </xf>
    <xf numFmtId="0" fontId="29" fillId="15" borderId="18" xfId="19" applyFont="1" applyFill="1" applyBorder="1" applyAlignment="1">
      <alignment horizontal="center" vertical="center" wrapText="1"/>
    </xf>
    <xf numFmtId="0" fontId="29" fillId="15" borderId="10" xfId="19" applyFont="1" applyFill="1" applyBorder="1" applyAlignment="1">
      <alignment horizontal="center" vertical="center"/>
    </xf>
    <xf numFmtId="0" fontId="29" fillId="15" borderId="11" xfId="19" applyFont="1" applyFill="1" applyBorder="1" applyAlignment="1">
      <alignment horizontal="center" vertical="center"/>
    </xf>
    <xf numFmtId="0" fontId="29" fillId="15" borderId="12" xfId="19" applyFont="1" applyFill="1" applyBorder="1" applyAlignment="1">
      <alignment horizontal="center" vertical="center"/>
    </xf>
    <xf numFmtId="0" fontId="31" fillId="0" borderId="22" xfId="19" applyFont="1" applyBorder="1" applyAlignment="1">
      <alignment horizontal="center" vertical="center" wrapText="1"/>
    </xf>
    <xf numFmtId="0" fontId="31" fillId="0" borderId="23" xfId="19" applyFont="1" applyBorder="1" applyAlignment="1">
      <alignment horizontal="center" vertical="center" wrapText="1"/>
    </xf>
    <xf numFmtId="0" fontId="27" fillId="14" borderId="22" xfId="19" applyFont="1" applyFill="1" applyBorder="1" applyAlignment="1">
      <alignment horizontal="center" vertical="center" wrapText="1"/>
    </xf>
    <xf numFmtId="0" fontId="31" fillId="14" borderId="21" xfId="19" applyFont="1" applyFill="1" applyBorder="1" applyAlignment="1">
      <alignment horizontal="center" vertical="center" wrapText="1"/>
    </xf>
    <xf numFmtId="0" fontId="1" fillId="0" borderId="0" xfId="19"/>
    <xf numFmtId="0" fontId="28" fillId="16" borderId="9" xfId="19" applyFont="1" applyFill="1" applyBorder="1"/>
    <xf numFmtId="0" fontId="28" fillId="0" borderId="0" xfId="19" applyFont="1" applyAlignment="1">
      <alignment horizontal="center"/>
    </xf>
    <xf numFmtId="0" fontId="28" fillId="16" borderId="9" xfId="19" applyFont="1" applyFill="1" applyBorder="1" applyAlignment="1">
      <alignment horizontal="center" vertical="center"/>
    </xf>
    <xf numFmtId="0" fontId="33" fillId="0" borderId="9" xfId="19" applyFont="1" applyBorder="1" applyAlignment="1">
      <alignment horizontal="center" vertical="center"/>
    </xf>
    <xf numFmtId="4" fontId="28" fillId="16" borderId="9" xfId="19" applyNumberFormat="1" applyFont="1" applyFill="1" applyBorder="1" applyAlignment="1">
      <alignment horizontal="center" vertical="center"/>
    </xf>
    <xf numFmtId="4" fontId="33" fillId="0" borderId="9" xfId="19" applyNumberFormat="1" applyFont="1" applyBorder="1" applyAlignment="1">
      <alignment horizontal="center" vertical="center"/>
    </xf>
    <xf numFmtId="0" fontId="36" fillId="17" borderId="9" xfId="19" applyFont="1" applyFill="1" applyBorder="1" applyAlignment="1">
      <alignment horizontal="center" vertical="center" wrapText="1"/>
    </xf>
    <xf numFmtId="0" fontId="36" fillId="17" borderId="10" xfId="19" applyFont="1" applyFill="1" applyBorder="1" applyAlignment="1">
      <alignment horizontal="center" vertical="center" wrapText="1"/>
    </xf>
    <xf numFmtId="0" fontId="28" fillId="18" borderId="9" xfId="19" applyFont="1" applyFill="1" applyBorder="1" applyAlignment="1">
      <alignment horizontal="center" vertical="center" wrapText="1"/>
    </xf>
    <xf numFmtId="0" fontId="28" fillId="21" borderId="20" xfId="19" applyFont="1" applyFill="1" applyBorder="1" applyAlignment="1">
      <alignment horizontal="center" vertical="center" wrapText="1"/>
    </xf>
    <xf numFmtId="17" fontId="33" fillId="0" borderId="9" xfId="19" applyNumberFormat="1" applyFont="1" applyBorder="1" applyAlignment="1">
      <alignment horizontal="center" vertical="center"/>
    </xf>
    <xf numFmtId="0" fontId="28" fillId="16" borderId="9" xfId="19" applyFont="1" applyFill="1" applyBorder="1" applyAlignment="1">
      <alignment horizontal="center"/>
    </xf>
    <xf numFmtId="0" fontId="33" fillId="13" borderId="9" xfId="19" applyFont="1" applyFill="1" applyBorder="1" applyAlignment="1">
      <alignment horizontal="center" vertical="center"/>
    </xf>
    <xf numFmtId="4" fontId="33" fillId="13" borderId="9" xfId="19" applyNumberFormat="1" applyFont="1" applyFill="1" applyBorder="1" applyAlignment="1">
      <alignment horizontal="center" vertical="center"/>
    </xf>
    <xf numFmtId="2" fontId="33" fillId="13" borderId="9" xfId="19" applyNumberFormat="1" applyFont="1" applyFill="1" applyBorder="1" applyAlignment="1">
      <alignment horizontal="center" vertical="center"/>
    </xf>
    <xf numFmtId="0" fontId="27" fillId="14" borderId="23" xfId="19" applyFont="1" applyFill="1" applyBorder="1" applyAlignment="1">
      <alignment horizontal="center" vertical="center" wrapText="1"/>
    </xf>
    <xf numFmtId="0" fontId="29" fillId="14" borderId="9" xfId="19" applyFont="1" applyFill="1" applyBorder="1" applyAlignment="1">
      <alignment horizontal="center" vertical="center"/>
    </xf>
    <xf numFmtId="0" fontId="29" fillId="14" borderId="10" xfId="19" applyFont="1" applyFill="1" applyBorder="1" applyAlignment="1">
      <alignment horizontal="center" vertical="center" wrapText="1"/>
    </xf>
    <xf numFmtId="0" fontId="29" fillId="14" borderId="11" xfId="19" applyFont="1" applyFill="1" applyBorder="1" applyAlignment="1">
      <alignment horizontal="center" vertical="center" wrapText="1"/>
    </xf>
    <xf numFmtId="0" fontId="29" fillId="14" borderId="12" xfId="19" applyFont="1" applyFill="1" applyBorder="1" applyAlignment="1">
      <alignment horizontal="center" vertical="center" wrapText="1"/>
    </xf>
    <xf numFmtId="0" fontId="29" fillId="14" borderId="9" xfId="19" applyFont="1" applyFill="1" applyBorder="1" applyAlignment="1">
      <alignment horizontal="center" vertical="center" wrapText="1"/>
    </xf>
    <xf numFmtId="0" fontId="29" fillId="20" borderId="9" xfId="19" applyFont="1" applyFill="1" applyBorder="1" applyAlignment="1">
      <alignment horizontal="center" vertical="center" wrapText="1"/>
    </xf>
    <xf numFmtId="0" fontId="29" fillId="20" borderId="9" xfId="19" applyFont="1" applyFill="1" applyBorder="1" applyAlignment="1">
      <alignment horizontal="center" vertical="center"/>
    </xf>
    <xf numFmtId="0" fontId="34" fillId="14" borderId="9" xfId="19" applyFont="1" applyFill="1" applyBorder="1" applyAlignment="1">
      <alignment horizontal="center" vertical="center"/>
    </xf>
    <xf numFmtId="170" fontId="34" fillId="14" borderId="9" xfId="19" applyNumberFormat="1" applyFont="1" applyFill="1" applyBorder="1" applyAlignment="1">
      <alignment horizontal="center" vertical="center"/>
    </xf>
    <xf numFmtId="0" fontId="24" fillId="13" borderId="9" xfId="19" applyFont="1" applyFill="1" applyBorder="1" applyAlignment="1">
      <alignment horizontal="center" vertical="center" wrapText="1"/>
    </xf>
    <xf numFmtId="0" fontId="29" fillId="20" borderId="9" xfId="19" applyFont="1" applyFill="1" applyBorder="1" applyAlignment="1">
      <alignment horizontal="center"/>
    </xf>
    <xf numFmtId="0" fontId="29" fillId="20" borderId="21" xfId="19" applyFont="1" applyFill="1" applyBorder="1" applyAlignment="1">
      <alignment horizontal="center" vertical="center"/>
    </xf>
    <xf numFmtId="0" fontId="29" fillId="20" borderId="22" xfId="19" applyFont="1" applyFill="1" applyBorder="1" applyAlignment="1">
      <alignment horizontal="center" vertical="center"/>
    </xf>
    <xf numFmtId="0" fontId="29" fillId="20" borderId="23" xfId="19" applyFont="1" applyFill="1" applyBorder="1" applyAlignment="1">
      <alignment horizontal="center" vertical="center"/>
    </xf>
    <xf numFmtId="0" fontId="29" fillId="14" borderId="14" xfId="19" applyFont="1" applyFill="1" applyBorder="1" applyAlignment="1">
      <alignment horizontal="center" vertical="center" wrapText="1"/>
    </xf>
    <xf numFmtId="0" fontId="29" fillId="14" borderId="15" xfId="19" applyFont="1" applyFill="1" applyBorder="1" applyAlignment="1">
      <alignment horizontal="center" vertical="center" wrapText="1"/>
    </xf>
    <xf numFmtId="0" fontId="29" fillId="14" borderId="19" xfId="19" applyFont="1" applyFill="1" applyBorder="1" applyAlignment="1">
      <alignment horizontal="center" vertical="center" wrapText="1"/>
    </xf>
    <xf numFmtId="0" fontId="29" fillId="14" borderId="20" xfId="19" applyFont="1" applyFill="1" applyBorder="1" applyAlignment="1">
      <alignment horizontal="center" vertical="center" wrapText="1"/>
    </xf>
    <xf numFmtId="0" fontId="29" fillId="20" borderId="21" xfId="19" applyFont="1" applyFill="1" applyBorder="1" applyAlignment="1">
      <alignment horizontal="center" vertical="center" wrapText="1"/>
    </xf>
    <xf numFmtId="0" fontId="29" fillId="20" borderId="22" xfId="19" applyFont="1" applyFill="1" applyBorder="1" applyAlignment="1">
      <alignment horizontal="center" vertical="center" wrapText="1"/>
    </xf>
    <xf numFmtId="0" fontId="29" fillId="20" borderId="23" xfId="19" applyFont="1" applyFill="1" applyBorder="1" applyAlignment="1">
      <alignment horizontal="center" vertical="center" wrapText="1"/>
    </xf>
    <xf numFmtId="0" fontId="38" fillId="0" borderId="0" xfId="28" applyFont="1" applyAlignment="1">
      <alignment horizontal="center" vertical="center"/>
    </xf>
    <xf numFmtId="0" fontId="38" fillId="0" borderId="0" xfId="28" applyFont="1" applyAlignment="1">
      <alignment horizontal="center"/>
    </xf>
    <xf numFmtId="0" fontId="38" fillId="0" borderId="0" xfId="28" applyFont="1"/>
    <xf numFmtId="0" fontId="38" fillId="0" borderId="8" xfId="28" applyFont="1" applyBorder="1" applyAlignment="1">
      <alignment horizontal="center" vertical="center"/>
    </xf>
    <xf numFmtId="0" fontId="38" fillId="0" borderId="8" xfId="28" applyFont="1" applyBorder="1" applyAlignment="1">
      <alignment horizontal="center"/>
    </xf>
    <xf numFmtId="0" fontId="38" fillId="11" borderId="8" xfId="28" applyFont="1" applyFill="1" applyBorder="1" applyAlignment="1">
      <alignment horizontal="center" vertical="center" wrapText="1"/>
    </xf>
    <xf numFmtId="0" fontId="38" fillId="24" borderId="8" xfId="28" applyFont="1" applyFill="1" applyBorder="1" applyAlignment="1">
      <alignment horizontal="center" vertical="center"/>
    </xf>
    <xf numFmtId="0" fontId="38" fillId="24" borderId="8" xfId="28" applyFont="1" applyFill="1" applyBorder="1" applyAlignment="1">
      <alignment horizontal="center"/>
    </xf>
    <xf numFmtId="0" fontId="41" fillId="22" borderId="0" xfId="28" applyFont="1" applyFill="1" applyAlignment="1">
      <alignment horizontal="center" vertical="center" wrapText="1"/>
    </xf>
    <xf numFmtId="0" fontId="39" fillId="0" borderId="0" xfId="28" applyFont="1"/>
    <xf numFmtId="0" fontId="46" fillId="0" borderId="24" xfId="28" applyFont="1" applyBorder="1" applyAlignment="1">
      <alignment horizontal="center" vertical="center" wrapText="1"/>
    </xf>
    <xf numFmtId="0" fontId="39" fillId="0" borderId="27" xfId="28" applyFont="1" applyBorder="1"/>
    <xf numFmtId="0" fontId="39" fillId="0" borderId="28" xfId="28" applyFont="1" applyBorder="1"/>
    <xf numFmtId="0" fontId="43" fillId="23" borderId="24" xfId="28" applyFont="1" applyFill="1" applyBorder="1" applyAlignment="1">
      <alignment horizontal="center" vertical="center"/>
    </xf>
    <xf numFmtId="0" fontId="43" fillId="11" borderId="24" xfId="28" applyFont="1" applyFill="1" applyBorder="1" applyAlignment="1">
      <alignment horizontal="center" vertical="center" wrapText="1"/>
    </xf>
    <xf numFmtId="0" fontId="47" fillId="9" borderId="26" xfId="28" applyFont="1" applyFill="1" applyBorder="1" applyAlignment="1">
      <alignment horizontal="center"/>
    </xf>
    <xf numFmtId="0" fontId="39" fillId="0" borderId="26" xfId="28" applyFont="1" applyBorder="1"/>
    <xf numFmtId="0" fontId="39" fillId="0" borderId="31" xfId="28" applyFont="1" applyBorder="1"/>
    <xf numFmtId="0" fontId="38" fillId="11" borderId="29" xfId="28" applyFont="1" applyFill="1" applyBorder="1" applyAlignment="1">
      <alignment horizontal="center" vertical="center" wrapText="1"/>
    </xf>
    <xf numFmtId="0" fontId="39" fillId="0" borderId="30" xfId="28" applyFont="1" applyBorder="1"/>
    <xf numFmtId="0" fontId="38" fillId="0" borderId="24" xfId="28" applyFont="1" applyBorder="1" applyAlignment="1">
      <alignment horizontal="center"/>
    </xf>
    <xf numFmtId="0" fontId="43" fillId="23" borderId="24" xfId="28" applyFont="1" applyFill="1" applyBorder="1" applyAlignment="1">
      <alignment horizontal="center"/>
    </xf>
    <xf numFmtId="0" fontId="38" fillId="24" borderId="24" xfId="28" applyFont="1" applyFill="1" applyBorder="1" applyAlignment="1">
      <alignment horizontal="center" vertical="center"/>
    </xf>
    <xf numFmtId="0" fontId="38" fillId="0" borderId="2" xfId="28" applyFont="1" applyBorder="1" applyAlignment="1">
      <alignment horizontal="center" vertical="center"/>
    </xf>
    <xf numFmtId="0" fontId="39" fillId="0" borderId="4" xfId="28" applyFont="1" applyBorder="1"/>
    <xf numFmtId="0" fontId="39" fillId="0" borderId="25" xfId="28" applyFont="1" applyBorder="1"/>
    <xf numFmtId="0" fontId="38" fillId="0" borderId="0" xfId="28" applyFont="1" applyAlignment="1">
      <alignment horizontal="center" vertical="center" wrapText="1"/>
    </xf>
    <xf numFmtId="0" fontId="37" fillId="0" borderId="0" xfId="28"/>
    <xf numFmtId="181" fontId="38" fillId="0" borderId="2" xfId="28" applyNumberFormat="1" applyFont="1" applyBorder="1" applyAlignment="1">
      <alignment horizontal="center" vertical="center"/>
    </xf>
    <xf numFmtId="0" fontId="39" fillId="0" borderId="3" xfId="28" applyFont="1" applyBorder="1"/>
    <xf numFmtId="0" fontId="43" fillId="23" borderId="3" xfId="28" applyFont="1" applyFill="1" applyBorder="1" applyAlignment="1">
      <alignment horizontal="center" vertical="center" wrapText="1"/>
    </xf>
    <xf numFmtId="0" fontId="39" fillId="0" borderId="7" xfId="28" applyFont="1" applyBorder="1"/>
    <xf numFmtId="0" fontId="43" fillId="23" borderId="2" xfId="28" applyFont="1" applyFill="1" applyBorder="1" applyAlignment="1">
      <alignment horizontal="center" vertical="center" wrapText="1"/>
    </xf>
    <xf numFmtId="0" fontId="43" fillId="23" borderId="27" xfId="28" applyFont="1" applyFill="1" applyBorder="1" applyAlignment="1">
      <alignment horizontal="center" vertical="center"/>
    </xf>
    <xf numFmtId="0" fontId="43" fillId="23" borderId="29" xfId="28" applyFont="1" applyFill="1" applyBorder="1" applyAlignment="1">
      <alignment horizontal="center" vertical="center"/>
    </xf>
    <xf numFmtId="0" fontId="39" fillId="0" borderId="5" xfId="28" applyFont="1" applyBorder="1"/>
    <xf numFmtId="0" fontId="43" fillId="23" borderId="29" xfId="28" applyFont="1" applyFill="1" applyBorder="1" applyAlignment="1">
      <alignment horizontal="center" vertical="center" wrapText="1"/>
    </xf>
    <xf numFmtId="0" fontId="51" fillId="13" borderId="32" xfId="0" applyFont="1" applyFill="1" applyBorder="1" applyAlignment="1" applyProtection="1">
      <alignment horizontal="center" vertical="center"/>
      <protection locked="0"/>
    </xf>
    <xf numFmtId="0" fontId="51" fillId="13" borderId="33" xfId="0" applyFont="1" applyFill="1" applyBorder="1" applyAlignment="1" applyProtection="1">
      <alignment horizontal="center" vertical="center"/>
      <protection locked="0"/>
    </xf>
    <xf numFmtId="0" fontId="51" fillId="13" borderId="34" xfId="0" applyFont="1" applyFill="1" applyBorder="1" applyAlignment="1" applyProtection="1">
      <alignment horizontal="center" vertical="center"/>
      <protection locked="0"/>
    </xf>
    <xf numFmtId="0" fontId="52" fillId="19" borderId="32" xfId="0" applyFont="1" applyFill="1" applyBorder="1" applyAlignment="1">
      <alignment horizontal="center" vertical="center"/>
    </xf>
    <xf numFmtId="0" fontId="52" fillId="19" borderId="33" xfId="0" applyFont="1" applyFill="1" applyBorder="1" applyAlignment="1">
      <alignment horizontal="center" vertical="center"/>
    </xf>
    <xf numFmtId="0" fontId="52" fillId="13" borderId="33" xfId="0" applyFont="1" applyFill="1" applyBorder="1" applyAlignment="1">
      <alignment horizontal="center" vertical="center"/>
    </xf>
    <xf numFmtId="0" fontId="52" fillId="13" borderId="34" xfId="0" applyFont="1" applyFill="1" applyBorder="1" applyAlignment="1">
      <alignment horizontal="center" vertical="center"/>
    </xf>
    <xf numFmtId="0" fontId="51" fillId="25" borderId="32" xfId="0" applyFont="1" applyFill="1" applyBorder="1" applyAlignment="1" applyProtection="1">
      <alignment horizontal="center" vertical="center"/>
      <protection locked="0"/>
    </xf>
    <xf numFmtId="0" fontId="51" fillId="25" borderId="33" xfId="0" applyFont="1" applyFill="1" applyBorder="1" applyAlignment="1" applyProtection="1">
      <alignment horizontal="center" vertical="center"/>
      <protection locked="0"/>
    </xf>
    <xf numFmtId="0" fontId="52" fillId="25" borderId="0" xfId="0" applyFont="1" applyFill="1" applyAlignment="1" applyProtection="1">
      <alignment vertical="center"/>
      <protection locked="0"/>
    </xf>
    <xf numFmtId="0" fontId="53" fillId="25" borderId="0" xfId="0" applyFont="1" applyFill="1" applyAlignment="1" applyProtection="1">
      <alignment vertical="center"/>
      <protection locked="0"/>
    </xf>
    <xf numFmtId="0" fontId="53" fillId="25" borderId="33" xfId="0" applyFont="1" applyFill="1" applyBorder="1" applyAlignment="1" applyProtection="1">
      <alignment vertical="center"/>
      <protection locked="0"/>
    </xf>
    <xf numFmtId="0" fontId="53" fillId="25" borderId="34" xfId="0" applyFont="1" applyFill="1" applyBorder="1" applyAlignment="1" applyProtection="1">
      <alignment vertical="center"/>
      <protection locked="0"/>
    </xf>
    <xf numFmtId="0" fontId="30" fillId="19" borderId="32" xfId="0" applyFont="1" applyFill="1" applyBorder="1" applyAlignment="1">
      <alignment horizontal="left" vertical="center"/>
    </xf>
    <xf numFmtId="0" fontId="30" fillId="19" borderId="33" xfId="0" applyFont="1" applyFill="1" applyBorder="1" applyAlignment="1">
      <alignment horizontal="left" vertical="center"/>
    </xf>
    <xf numFmtId="0" fontId="30" fillId="19" borderId="35" xfId="0" applyFont="1" applyFill="1" applyBorder="1" applyAlignment="1">
      <alignment horizontal="left" vertical="center"/>
    </xf>
    <xf numFmtId="0" fontId="30" fillId="19" borderId="36" xfId="0" applyFont="1" applyFill="1" applyBorder="1" applyAlignment="1">
      <alignment horizontal="center" vertical="center"/>
    </xf>
    <xf numFmtId="0" fontId="30" fillId="19" borderId="33" xfId="0" applyFont="1" applyFill="1" applyBorder="1" applyAlignment="1">
      <alignment horizontal="center" vertical="center"/>
    </xf>
    <xf numFmtId="0" fontId="30" fillId="19" borderId="34" xfId="0" applyFont="1" applyFill="1" applyBorder="1" applyAlignment="1">
      <alignment horizontal="center" vertical="center"/>
    </xf>
    <xf numFmtId="0" fontId="30" fillId="19" borderId="34" xfId="0" applyFont="1" applyFill="1" applyBorder="1" applyAlignment="1">
      <alignment horizontal="left" vertical="center"/>
    </xf>
    <xf numFmtId="0" fontId="54" fillId="25" borderId="32" xfId="0" applyFont="1" applyFill="1" applyBorder="1" applyAlignment="1" applyProtection="1">
      <alignment horizontal="left" vertical="center"/>
      <protection locked="0"/>
    </xf>
    <xf numFmtId="0" fontId="54" fillId="25" borderId="33" xfId="0" applyFont="1" applyFill="1" applyBorder="1" applyAlignment="1" applyProtection="1">
      <alignment horizontal="left" vertical="center"/>
      <protection locked="0"/>
    </xf>
    <xf numFmtId="0" fontId="54" fillId="25" borderId="35" xfId="0" applyFont="1" applyFill="1" applyBorder="1" applyAlignment="1" applyProtection="1">
      <alignment horizontal="left" vertical="center"/>
      <protection locked="0"/>
    </xf>
    <xf numFmtId="0" fontId="54" fillId="25" borderId="36" xfId="0" applyFont="1" applyFill="1" applyBorder="1" applyAlignment="1" applyProtection="1">
      <alignment horizontal="center" vertical="center"/>
      <protection locked="0"/>
    </xf>
    <xf numFmtId="0" fontId="54" fillId="25" borderId="33" xfId="0" applyFont="1" applyFill="1" applyBorder="1" applyAlignment="1" applyProtection="1">
      <alignment horizontal="center" vertical="center"/>
      <protection locked="0"/>
    </xf>
    <xf numFmtId="0" fontId="54" fillId="25" borderId="34" xfId="0" applyFont="1" applyFill="1" applyBorder="1" applyAlignment="1" applyProtection="1">
      <alignment horizontal="center" vertical="center"/>
      <protection locked="0"/>
    </xf>
    <xf numFmtId="17" fontId="54" fillId="25" borderId="32" xfId="0" applyNumberFormat="1" applyFont="1" applyFill="1" applyBorder="1" applyAlignment="1" applyProtection="1">
      <alignment horizontal="center" vertical="center"/>
      <protection locked="0"/>
    </xf>
    <xf numFmtId="17" fontId="54" fillId="25" borderId="34" xfId="0" applyNumberFormat="1" applyFont="1" applyFill="1" applyBorder="1" applyAlignment="1" applyProtection="1">
      <alignment horizontal="center" vertical="center"/>
      <protection locked="0"/>
    </xf>
    <xf numFmtId="0" fontId="30" fillId="19" borderId="37" xfId="0" applyFont="1" applyFill="1" applyBorder="1" applyAlignment="1">
      <alignment horizontal="left" vertical="center"/>
    </xf>
    <xf numFmtId="0" fontId="30" fillId="19" borderId="38" xfId="0" applyFont="1" applyFill="1" applyBorder="1" applyAlignment="1">
      <alignment horizontal="left" vertical="center"/>
    </xf>
    <xf numFmtId="0" fontId="30" fillId="19" borderId="39" xfId="0" applyFont="1" applyFill="1" applyBorder="1" applyAlignment="1">
      <alignment horizontal="left" vertical="center"/>
    </xf>
    <xf numFmtId="0" fontId="54" fillId="25" borderId="40" xfId="0" applyFont="1" applyFill="1" applyBorder="1" applyAlignment="1" applyProtection="1">
      <alignment horizontal="left" vertical="center"/>
      <protection locked="0"/>
    </xf>
    <xf numFmtId="0" fontId="54" fillId="25" borderId="22" xfId="0" applyFont="1" applyFill="1" applyBorder="1" applyAlignment="1" applyProtection="1">
      <alignment horizontal="left" vertical="center"/>
      <protection locked="0"/>
    </xf>
    <xf numFmtId="0" fontId="54" fillId="25" borderId="23" xfId="0" applyFont="1" applyFill="1" applyBorder="1" applyAlignment="1" applyProtection="1">
      <alignment horizontal="left" vertical="center"/>
      <protection locked="0"/>
    </xf>
    <xf numFmtId="0" fontId="54" fillId="25" borderId="34" xfId="0" applyFont="1" applyFill="1" applyBorder="1" applyAlignment="1" applyProtection="1">
      <alignment horizontal="center" vertical="center"/>
      <protection locked="0"/>
    </xf>
    <xf numFmtId="0" fontId="54" fillId="25" borderId="33" xfId="0" applyFont="1" applyFill="1" applyBorder="1" applyAlignment="1" applyProtection="1">
      <alignment horizontal="center" vertical="center"/>
      <protection locked="0"/>
    </xf>
    <xf numFmtId="0" fontId="54" fillId="25" borderId="32" xfId="0" applyFont="1" applyFill="1" applyBorder="1" applyAlignment="1" applyProtection="1">
      <alignment horizontal="center" vertical="center"/>
      <protection locked="0"/>
    </xf>
    <xf numFmtId="0" fontId="30" fillId="25" borderId="34" xfId="0" applyFont="1" applyFill="1" applyBorder="1" applyAlignment="1" applyProtection="1">
      <alignment horizontal="center" vertical="center"/>
      <protection locked="0"/>
    </xf>
    <xf numFmtId="0" fontId="55" fillId="25" borderId="41" xfId="0" applyFont="1" applyFill="1" applyBorder="1" applyAlignment="1" applyProtection="1">
      <alignment vertical="center"/>
      <protection locked="0"/>
    </xf>
    <xf numFmtId="0" fontId="55" fillId="25" borderId="42" xfId="0" applyFont="1" applyFill="1" applyBorder="1" applyAlignment="1" applyProtection="1">
      <alignment vertical="center"/>
      <protection locked="0"/>
    </xf>
    <xf numFmtId="0" fontId="30" fillId="25" borderId="42" xfId="0" applyFont="1" applyFill="1" applyBorder="1" applyAlignment="1">
      <alignment vertical="center"/>
    </xf>
    <xf numFmtId="0" fontId="30" fillId="25" borderId="33" xfId="0" applyFont="1" applyFill="1" applyBorder="1" applyAlignment="1">
      <alignment vertical="center"/>
    </xf>
    <xf numFmtId="0" fontId="30" fillId="25" borderId="42" xfId="0" applyFont="1" applyFill="1" applyBorder="1" applyAlignment="1" applyProtection="1">
      <alignment vertical="center"/>
      <protection locked="0"/>
    </xf>
    <xf numFmtId="0" fontId="30" fillId="25" borderId="43" xfId="0" applyFont="1" applyFill="1" applyBorder="1" applyAlignment="1" applyProtection="1">
      <alignment vertical="center"/>
      <protection locked="0"/>
    </xf>
    <xf numFmtId="0" fontId="54" fillId="19" borderId="44" xfId="0" applyFont="1" applyFill="1" applyBorder="1" applyAlignment="1">
      <alignment horizontal="center" vertical="top"/>
    </xf>
    <xf numFmtId="0" fontId="30" fillId="19" borderId="45" xfId="0" applyFont="1" applyFill="1" applyBorder="1" applyAlignment="1">
      <alignment horizontal="center" vertical="top" wrapText="1"/>
    </xf>
    <xf numFmtId="0" fontId="30" fillId="19" borderId="46" xfId="0" applyFont="1" applyFill="1" applyBorder="1" applyAlignment="1">
      <alignment horizontal="center" vertical="top" wrapText="1"/>
    </xf>
    <xf numFmtId="0" fontId="30" fillId="19" borderId="37" xfId="0" applyFont="1" applyFill="1" applyBorder="1" applyAlignment="1">
      <alignment horizontal="center" vertical="top" wrapText="1"/>
    </xf>
    <xf numFmtId="0" fontId="30" fillId="19" borderId="38" xfId="0" applyFont="1" applyFill="1" applyBorder="1" applyAlignment="1">
      <alignment horizontal="center" vertical="top" wrapText="1"/>
    </xf>
    <xf numFmtId="0" fontId="30" fillId="19" borderId="37" xfId="0" applyFont="1" applyFill="1" applyBorder="1" applyAlignment="1">
      <alignment horizontal="center" vertical="top"/>
    </xf>
    <xf numFmtId="0" fontId="30" fillId="19" borderId="38" xfId="0" applyFont="1" applyFill="1" applyBorder="1" applyAlignment="1">
      <alignment horizontal="center" vertical="top"/>
    </xf>
    <xf numFmtId="0" fontId="30" fillId="19" borderId="46" xfId="0" applyFont="1" applyFill="1" applyBorder="1" applyAlignment="1">
      <alignment horizontal="center" vertical="top"/>
    </xf>
    <xf numFmtId="0" fontId="30" fillId="19" borderId="47" xfId="0" applyFont="1" applyFill="1" applyBorder="1" applyAlignment="1">
      <alignment horizontal="center" vertical="top" wrapText="1"/>
    </xf>
    <xf numFmtId="0" fontId="54" fillId="19" borderId="48" xfId="0" applyFont="1" applyFill="1" applyBorder="1" applyAlignment="1">
      <alignment horizontal="center" vertical="top"/>
    </xf>
    <xf numFmtId="0" fontId="33" fillId="25" borderId="10" xfId="0" applyFont="1" applyFill="1" applyBorder="1" applyAlignment="1">
      <alignment horizontal="center" vertical="top" wrapText="1"/>
    </xf>
    <xf numFmtId="0" fontId="33" fillId="25" borderId="49" xfId="0" applyFont="1" applyFill="1" applyBorder="1" applyAlignment="1">
      <alignment horizontal="center" vertical="top" wrapText="1"/>
    </xf>
    <xf numFmtId="0" fontId="33" fillId="25" borderId="14" xfId="0" applyFont="1" applyFill="1" applyBorder="1" applyAlignment="1">
      <alignment horizontal="center" vertical="top" wrapText="1"/>
    </xf>
    <xf numFmtId="0" fontId="33" fillId="19" borderId="13" xfId="0" applyFont="1" applyFill="1" applyBorder="1" applyAlignment="1">
      <alignment horizontal="center" vertical="top" wrapText="1"/>
    </xf>
    <xf numFmtId="0" fontId="33" fillId="25" borderId="50" xfId="0" applyFont="1" applyFill="1" applyBorder="1" applyAlignment="1">
      <alignment horizontal="center" vertical="top"/>
    </xf>
    <xf numFmtId="0" fontId="33" fillId="25" borderId="51" xfId="0" applyFont="1" applyFill="1" applyBorder="1" applyAlignment="1">
      <alignment horizontal="center" vertical="top" wrapText="1"/>
    </xf>
    <xf numFmtId="0" fontId="33" fillId="25" borderId="51" xfId="0" applyFont="1" applyFill="1" applyBorder="1" applyAlignment="1">
      <alignment horizontal="center" vertical="top"/>
    </xf>
    <xf numFmtId="0" fontId="33" fillId="19" borderId="51" xfId="0" applyFont="1" applyFill="1" applyBorder="1" applyAlignment="1">
      <alignment horizontal="center" vertical="top"/>
    </xf>
    <xf numFmtId="0" fontId="33" fillId="19" borderId="52" xfId="0" applyFont="1" applyFill="1" applyBorder="1" applyAlignment="1">
      <alignment horizontal="center" vertical="top"/>
    </xf>
    <xf numFmtId="0" fontId="30" fillId="19" borderId="53" xfId="0" applyFont="1" applyFill="1" applyBorder="1" applyAlignment="1">
      <alignment horizontal="center" vertical="top" wrapText="1"/>
    </xf>
    <xf numFmtId="0" fontId="54" fillId="25" borderId="54" xfId="0" applyFont="1" applyFill="1" applyBorder="1" applyAlignment="1">
      <alignment horizontal="center" vertical="top" wrapText="1"/>
    </xf>
    <xf numFmtId="0" fontId="54" fillId="25" borderId="49" xfId="0" applyFont="1" applyFill="1" applyBorder="1" applyAlignment="1">
      <alignment horizontal="center" vertical="top" wrapText="1"/>
    </xf>
    <xf numFmtId="0" fontId="54" fillId="19" borderId="55" xfId="0" applyFont="1" applyFill="1" applyBorder="1" applyAlignment="1">
      <alignment vertical="center"/>
    </xf>
    <xf numFmtId="0" fontId="33" fillId="25" borderId="56" xfId="0" applyFont="1" applyFill="1" applyBorder="1" applyAlignment="1" applyProtection="1">
      <alignment horizontal="center" vertical="center"/>
      <protection locked="0"/>
    </xf>
    <xf numFmtId="4" fontId="33" fillId="25" borderId="56" xfId="0" applyNumberFormat="1" applyFont="1" applyFill="1" applyBorder="1" applyAlignment="1" applyProtection="1">
      <alignment horizontal="center" vertical="center"/>
      <protection locked="0"/>
    </xf>
    <xf numFmtId="4" fontId="33" fillId="19" borderId="57" xfId="0" applyNumberFormat="1" applyFont="1" applyFill="1" applyBorder="1" applyAlignment="1">
      <alignment horizontal="center" vertical="center"/>
    </xf>
    <xf numFmtId="0" fontId="33" fillId="25" borderId="39" xfId="0" applyFont="1" applyFill="1" applyBorder="1" applyAlignment="1" applyProtection="1">
      <alignment horizontal="center" vertical="center"/>
      <protection locked="0"/>
    </xf>
    <xf numFmtId="0" fontId="33" fillId="25" borderId="58" xfId="0" applyFont="1" applyFill="1" applyBorder="1" applyAlignment="1" applyProtection="1">
      <alignment horizontal="center" vertical="center"/>
      <protection locked="0"/>
    </xf>
    <xf numFmtId="0" fontId="33" fillId="25" borderId="11" xfId="0" applyFont="1" applyFill="1" applyBorder="1" applyAlignment="1" applyProtection="1">
      <alignment horizontal="center" vertical="center"/>
      <protection locked="0"/>
    </xf>
    <xf numFmtId="2" fontId="33" fillId="19" borderId="59" xfId="0" applyNumberFormat="1" applyFont="1" applyFill="1" applyBorder="1" applyAlignment="1">
      <alignment horizontal="center" vertical="center"/>
    </xf>
    <xf numFmtId="1" fontId="33" fillId="19" borderId="60" xfId="0" applyNumberFormat="1" applyFont="1" applyFill="1" applyBorder="1" applyAlignment="1">
      <alignment horizontal="center" vertical="center"/>
    </xf>
    <xf numFmtId="0" fontId="33" fillId="25" borderId="61" xfId="0" applyFont="1" applyFill="1" applyBorder="1" applyAlignment="1" applyProtection="1">
      <alignment horizontal="center" vertical="center"/>
      <protection locked="0"/>
    </xf>
    <xf numFmtId="0" fontId="33" fillId="25" borderId="62" xfId="0" applyFont="1" applyFill="1" applyBorder="1" applyAlignment="1" applyProtection="1">
      <alignment horizontal="center" vertical="center"/>
      <protection locked="0"/>
    </xf>
    <xf numFmtId="0" fontId="33" fillId="25" borderId="63" xfId="0" applyFont="1" applyFill="1" applyBorder="1" applyAlignment="1" applyProtection="1">
      <alignment horizontal="center" vertical="center"/>
      <protection locked="0"/>
    </xf>
    <xf numFmtId="0" fontId="33" fillId="25" borderId="64" xfId="0" applyFont="1" applyFill="1" applyBorder="1" applyAlignment="1" applyProtection="1">
      <alignment horizontal="center" vertical="center"/>
      <protection locked="0"/>
    </xf>
    <xf numFmtId="0" fontId="54" fillId="19" borderId="65" xfId="0" applyFont="1" applyFill="1" applyBorder="1" applyAlignment="1">
      <alignment vertical="center"/>
    </xf>
    <xf numFmtId="0" fontId="33" fillId="25" borderId="59" xfId="0" applyFont="1" applyFill="1" applyBorder="1" applyAlignment="1" applyProtection="1">
      <alignment horizontal="center" vertical="center"/>
      <protection locked="0"/>
    </xf>
    <xf numFmtId="3" fontId="33" fillId="25" borderId="59" xfId="0" applyNumberFormat="1" applyFont="1" applyFill="1" applyBorder="1" applyAlignment="1" applyProtection="1">
      <alignment horizontal="center" vertical="center"/>
      <protection locked="0"/>
    </xf>
    <xf numFmtId="4" fontId="33" fillId="19" borderId="66" xfId="0" applyNumberFormat="1" applyFont="1" applyFill="1" applyBorder="1" applyAlignment="1">
      <alignment horizontal="center" vertical="center"/>
    </xf>
    <xf numFmtId="0" fontId="33" fillId="25" borderId="23" xfId="0" applyFont="1" applyFill="1" applyBorder="1" applyAlignment="1" applyProtection="1">
      <alignment horizontal="center" vertical="center"/>
      <protection locked="0"/>
    </xf>
    <xf numFmtId="0" fontId="33" fillId="25" borderId="9" xfId="0" applyFont="1" applyFill="1" applyBorder="1" applyAlignment="1" applyProtection="1">
      <alignment horizontal="center" vertical="center"/>
      <protection locked="0"/>
    </xf>
    <xf numFmtId="0" fontId="33" fillId="25" borderId="67" xfId="0" applyFont="1" applyFill="1" applyBorder="1" applyAlignment="1" applyProtection="1">
      <alignment horizontal="center" vertical="center"/>
      <protection locked="0"/>
    </xf>
    <xf numFmtId="0" fontId="33" fillId="25" borderId="68" xfId="0" applyFont="1" applyFill="1" applyBorder="1" applyAlignment="1" applyProtection="1">
      <alignment horizontal="center" vertical="center"/>
      <protection locked="0"/>
    </xf>
    <xf numFmtId="0" fontId="33" fillId="25" borderId="69" xfId="0" applyFont="1" applyFill="1" applyBorder="1" applyAlignment="1" applyProtection="1">
      <alignment horizontal="center" vertical="center"/>
      <protection locked="0"/>
    </xf>
    <xf numFmtId="0" fontId="33" fillId="25" borderId="70" xfId="0" applyFont="1" applyFill="1" applyBorder="1" applyAlignment="1" applyProtection="1">
      <alignment horizontal="center" vertical="center"/>
      <protection locked="0"/>
    </xf>
    <xf numFmtId="0" fontId="54" fillId="19" borderId="71" xfId="0" applyFont="1" applyFill="1" applyBorder="1" applyAlignment="1">
      <alignment vertical="center"/>
    </xf>
    <xf numFmtId="4" fontId="33" fillId="25" borderId="59" xfId="0" applyNumberFormat="1" applyFont="1" applyFill="1" applyBorder="1" applyAlignment="1" applyProtection="1">
      <alignment horizontal="center" vertical="center"/>
      <protection locked="0"/>
    </xf>
    <xf numFmtId="0" fontId="54" fillId="19" borderId="72" xfId="0" applyFont="1" applyFill="1" applyBorder="1" applyAlignment="1">
      <alignment vertical="center"/>
    </xf>
    <xf numFmtId="0" fontId="56" fillId="25" borderId="59" xfId="0" applyFont="1" applyFill="1" applyBorder="1" applyAlignment="1" applyProtection="1">
      <alignment horizontal="center" vertical="center"/>
      <protection locked="0"/>
    </xf>
    <xf numFmtId="4" fontId="56" fillId="25" borderId="59" xfId="0" applyNumberFormat="1" applyFont="1" applyFill="1" applyBorder="1" applyAlignment="1" applyProtection="1">
      <alignment horizontal="center" vertical="center"/>
      <protection locked="0"/>
    </xf>
    <xf numFmtId="3" fontId="56" fillId="25" borderId="59" xfId="0" applyNumberFormat="1" applyFont="1" applyFill="1" applyBorder="1" applyAlignment="1" applyProtection="1">
      <alignment horizontal="center" vertical="center"/>
      <protection locked="0"/>
    </xf>
    <xf numFmtId="4" fontId="56" fillId="19" borderId="66" xfId="0" applyNumberFormat="1" applyFont="1" applyFill="1" applyBorder="1" applyAlignment="1">
      <alignment horizontal="center" vertical="center"/>
    </xf>
    <xf numFmtId="0" fontId="56" fillId="25" borderId="23" xfId="0" applyFont="1" applyFill="1" applyBorder="1" applyAlignment="1" applyProtection="1">
      <alignment horizontal="center" vertical="center"/>
      <protection locked="0"/>
    </xf>
    <xf numFmtId="0" fontId="56" fillId="25" borderId="9" xfId="0" applyFont="1" applyFill="1" applyBorder="1" applyAlignment="1" applyProtection="1">
      <alignment horizontal="center" vertical="center"/>
      <protection locked="0"/>
    </xf>
    <xf numFmtId="2" fontId="56" fillId="19" borderId="59" xfId="0" applyNumberFormat="1" applyFont="1" applyFill="1" applyBorder="1" applyAlignment="1">
      <alignment horizontal="center" vertical="center"/>
    </xf>
    <xf numFmtId="1" fontId="56" fillId="19" borderId="60" xfId="0" applyNumberFormat="1" applyFont="1" applyFill="1" applyBorder="1" applyAlignment="1">
      <alignment horizontal="center" vertical="center"/>
    </xf>
    <xf numFmtId="0" fontId="56" fillId="25" borderId="67" xfId="0" applyFont="1" applyFill="1" applyBorder="1" applyAlignment="1" applyProtection="1">
      <alignment horizontal="center" vertical="center"/>
      <protection locked="0"/>
    </xf>
    <xf numFmtId="0" fontId="56" fillId="25" borderId="68" xfId="0" applyFont="1" applyFill="1" applyBorder="1" applyAlignment="1" applyProtection="1">
      <alignment horizontal="center" vertical="center"/>
      <protection locked="0"/>
    </xf>
    <xf numFmtId="0" fontId="56" fillId="25" borderId="69" xfId="0" applyFont="1" applyFill="1" applyBorder="1" applyAlignment="1" applyProtection="1">
      <alignment horizontal="center" vertical="center"/>
      <protection locked="0"/>
    </xf>
    <xf numFmtId="0" fontId="56" fillId="25" borderId="70" xfId="0" applyFont="1" applyFill="1" applyBorder="1" applyAlignment="1" applyProtection="1">
      <alignment horizontal="center" vertical="center"/>
      <protection locked="0"/>
    </xf>
    <xf numFmtId="0" fontId="54" fillId="19" borderId="73" xfId="0" applyFont="1" applyFill="1" applyBorder="1" applyAlignment="1">
      <alignment vertical="center"/>
    </xf>
    <xf numFmtId="0" fontId="33" fillId="25" borderId="74" xfId="0" applyFont="1" applyFill="1" applyBorder="1" applyAlignment="1" applyProtection="1">
      <alignment horizontal="center" vertical="center"/>
      <protection locked="0"/>
    </xf>
    <xf numFmtId="3" fontId="33" fillId="25" borderId="74" xfId="0" applyNumberFormat="1" applyFont="1" applyFill="1" applyBorder="1" applyAlignment="1" applyProtection="1">
      <alignment horizontal="center" vertical="center"/>
      <protection locked="0"/>
    </xf>
    <xf numFmtId="4" fontId="33" fillId="19" borderId="75" xfId="0" applyNumberFormat="1" applyFont="1" applyFill="1" applyBorder="1" applyAlignment="1">
      <alignment horizontal="center" vertical="center"/>
    </xf>
    <xf numFmtId="0" fontId="33" fillId="25" borderId="76" xfId="0" applyFont="1" applyFill="1" applyBorder="1" applyAlignment="1" applyProtection="1">
      <alignment horizontal="center" vertical="center"/>
      <protection locked="0"/>
    </xf>
    <xf numFmtId="0" fontId="30" fillId="19" borderId="77" xfId="0" applyFont="1" applyFill="1" applyBorder="1" applyAlignment="1">
      <alignment vertical="center"/>
    </xf>
    <xf numFmtId="0" fontId="30" fillId="16" borderId="78" xfId="0" applyFont="1" applyFill="1" applyBorder="1" applyAlignment="1">
      <alignment horizontal="center" vertical="center"/>
    </xf>
    <xf numFmtId="0" fontId="30" fillId="16" borderId="79" xfId="0" applyFont="1" applyFill="1" applyBorder="1" applyAlignment="1">
      <alignment horizontal="center" vertical="center"/>
    </xf>
    <xf numFmtId="0" fontId="30" fillId="16" borderId="80" xfId="0" applyFont="1" applyFill="1" applyBorder="1" applyAlignment="1">
      <alignment horizontal="center" vertical="center"/>
    </xf>
    <xf numFmtId="0" fontId="30" fillId="19" borderId="81" xfId="0" applyFont="1" applyFill="1" applyBorder="1" applyAlignment="1">
      <alignment horizontal="center" vertical="center"/>
    </xf>
    <xf numFmtId="0" fontId="30" fillId="16" borderId="82" xfId="0" applyFont="1" applyFill="1" applyBorder="1" applyAlignment="1">
      <alignment horizontal="center" vertical="center"/>
    </xf>
    <xf numFmtId="0" fontId="30" fillId="16" borderId="83" xfId="0" applyFont="1" applyFill="1" applyBorder="1" applyAlignment="1">
      <alignment horizontal="center" vertical="center"/>
    </xf>
    <xf numFmtId="2" fontId="30" fillId="19" borderId="83" xfId="0" applyNumberFormat="1" applyFont="1" applyFill="1" applyBorder="1" applyAlignment="1">
      <alignment horizontal="center" vertical="center"/>
    </xf>
    <xf numFmtId="1" fontId="30" fillId="19" borderId="84" xfId="0" applyNumberFormat="1" applyFont="1" applyFill="1" applyBorder="1" applyAlignment="1">
      <alignment horizontal="center" vertical="center"/>
    </xf>
    <xf numFmtId="0" fontId="30" fillId="16" borderId="33" xfId="0" applyFont="1" applyFill="1" applyBorder="1" applyAlignment="1">
      <alignment horizontal="center" vertical="center"/>
    </xf>
    <xf numFmtId="0" fontId="30" fillId="16" borderId="84" xfId="0" applyFont="1" applyFill="1" applyBorder="1" applyAlignment="1">
      <alignment horizontal="center" vertical="center"/>
    </xf>
    <xf numFmtId="0" fontId="30" fillId="16" borderId="85" xfId="0" applyFont="1" applyFill="1" applyBorder="1" applyAlignment="1">
      <alignment horizontal="center" vertical="center"/>
    </xf>
  </cellXfs>
  <cellStyles count="47">
    <cellStyle name="Accent" xfId="1" xr:uid="{F07B45B2-7395-405D-9AFA-17808FC06FC5}"/>
    <cellStyle name="Accent 1" xfId="2" xr:uid="{713D93F4-1966-4423-BA30-B80FF8BAECF8}"/>
    <cellStyle name="Accent 2" xfId="3" xr:uid="{2F2A88A1-1F58-4D73-A5F9-ABE8C9A31011}"/>
    <cellStyle name="Accent 3" xfId="4" xr:uid="{BED49D50-4312-411E-BCD0-3F76937C465E}"/>
    <cellStyle name="Bad" xfId="5" xr:uid="{1A884136-F6CC-46C2-A312-88F76FA689EC}"/>
    <cellStyle name="Error" xfId="6" xr:uid="{463BF6AB-00B7-44B1-A0BC-4B09CA2AEC9D}"/>
    <cellStyle name="Excel Built-in Normal" xfId="25" xr:uid="{7A728237-B764-4CF4-9943-BFE91625EAD5}"/>
    <cellStyle name="Footnote" xfId="7" xr:uid="{1B3FBDC7-66F0-4172-B8AB-324B3B4E8B57}"/>
    <cellStyle name="Good" xfId="8" xr:uid="{6427F1C2-B804-4659-85A6-0E1F6FCCADE3}"/>
    <cellStyle name="Heading (user)" xfId="9" xr:uid="{CAFDF249-1394-4CBF-A462-CB6F1F399950}"/>
    <cellStyle name="Heading 1" xfId="10" xr:uid="{DE10D786-F827-4ADD-B5B2-D35BDA773217}"/>
    <cellStyle name="Heading 2" xfId="11" xr:uid="{6C72EE7B-2D7E-42E0-8EBF-C36E54BBCB36}"/>
    <cellStyle name="Hiperlink 2" xfId="30" xr:uid="{BBC52131-D699-41CA-8469-720B1BBAE4CA}"/>
    <cellStyle name="Hiperlink 3" xfId="29" xr:uid="{DD98DC0E-4050-453B-8AD2-6D66178C8E05}"/>
    <cellStyle name="Hyperlink" xfId="12" xr:uid="{C9891FC4-BDCC-476F-9098-77DAB312BD46}"/>
    <cellStyle name="Neutral" xfId="13" xr:uid="{7A5BE070-BAC3-453C-8DC5-972B8B270B56}"/>
    <cellStyle name="Normal" xfId="0" builtinId="0" customBuiltin="1"/>
    <cellStyle name="Normal 10" xfId="31" xr:uid="{E245FAEF-ACD1-4019-ADFD-8EF404C2D7AD}"/>
    <cellStyle name="Normal 11" xfId="32" xr:uid="{D3E5E1E7-5CC6-4439-99B9-95AA7F4C4CF3}"/>
    <cellStyle name="Normal 12" xfId="33" xr:uid="{772FE2C9-04EE-4C87-9474-B209AA48DDAB}"/>
    <cellStyle name="Normal 13" xfId="34" xr:uid="{1CE877DC-1860-4D69-A2F3-32661588CFCC}"/>
    <cellStyle name="Normal 14" xfId="35" xr:uid="{711ECBC0-3A1C-439D-A2AE-EDA11B715C1A}"/>
    <cellStyle name="Normal 15" xfId="36" xr:uid="{BA7F0726-924F-4641-B3A4-DB1786D269AA}"/>
    <cellStyle name="Normal 16" xfId="28" xr:uid="{66B5F9B7-F722-42F1-A209-68D0F3D82D4F}"/>
    <cellStyle name="Normal 2" xfId="14" xr:uid="{EA4D78F0-8833-4531-A1EF-324846A65CA5}"/>
    <cellStyle name="Normal 2 2" xfId="22" xr:uid="{26B694DC-6997-4DC7-A890-7968F0BB7787}"/>
    <cellStyle name="Normal 2 2 2" xfId="38" xr:uid="{8443C6DA-5327-47C7-A51F-1905E6A5D44B}"/>
    <cellStyle name="Normal 2 3" xfId="21" xr:uid="{DFF22F21-2DB4-4182-A866-EB9A3586F4A2}"/>
    <cellStyle name="Normal 2 3 2" xfId="39" xr:uid="{8A20FB39-CB5E-4282-B540-FB8F1DFA457E}"/>
    <cellStyle name="Normal 2 4" xfId="37" xr:uid="{C8306491-316A-4B97-95D8-4DCC9853498E}"/>
    <cellStyle name="Normal 3" xfId="19" xr:uid="{06011BC8-BA3A-45B5-93EE-7DF7E36803E6}"/>
    <cellStyle name="Normal 3 2" xfId="27" xr:uid="{63D107A5-42FB-4B59-B4D6-27F7FD5083EC}"/>
    <cellStyle name="Normal 3 3" xfId="40" xr:uid="{6086EE3B-615C-4C4D-8ACB-60DA489FB61B}"/>
    <cellStyle name="Normal 4" xfId="20" xr:uid="{B02E533B-FC34-4DE3-A98A-EF2AE8509FCE}"/>
    <cellStyle name="Normal 4 2" xfId="41" xr:uid="{E45952C6-C000-4CC1-BC48-F11AFCAF08C9}"/>
    <cellStyle name="Normal 5" xfId="24" xr:uid="{152EA282-CA44-437F-8547-131898E26401}"/>
    <cellStyle name="Normal 5 2" xfId="26" xr:uid="{45CE7A7D-851A-4F07-9525-5E3C9D4BDFD5}"/>
    <cellStyle name="Normal 5 3" xfId="42" xr:uid="{BB8FB909-40EF-4A74-B097-D71667B172AC}"/>
    <cellStyle name="Normal 6" xfId="43" xr:uid="{A00C5499-1111-4B75-9559-F9E0131E6AD1}"/>
    <cellStyle name="Normal 7" xfId="44" xr:uid="{A2CE07D5-1C1A-4E8E-AE69-5CA5602A6CED}"/>
    <cellStyle name="Normal 8" xfId="45" xr:uid="{26463AA0-0859-4CBE-96F6-FF79DD5F8C16}"/>
    <cellStyle name="Normal 9" xfId="46" xr:uid="{7699482A-19E2-44BF-838D-3F779CA7F120}"/>
    <cellStyle name="Note" xfId="15" xr:uid="{9D5457A3-F6C5-44D7-8F3C-103BE4C89440}"/>
    <cellStyle name="Porcentagem 3" xfId="23" xr:uid="{5D3D8EA9-619E-4785-8B12-514CC36DCEA9}"/>
    <cellStyle name="Status" xfId="16" xr:uid="{7A9A0EE2-C80B-4C1F-8677-927B8132DBD0}"/>
    <cellStyle name="Text" xfId="17" xr:uid="{7E710485-029E-4425-882B-91D337B3A2B9}"/>
    <cellStyle name="Warning" xfId="18" xr:uid="{7A966164-9BC5-4AC1-A0CB-F6D6F0F21C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359642</xdr:colOff>
      <xdr:row>1</xdr:row>
      <xdr:rowOff>50758</xdr:rowOff>
    </xdr:from>
    <xdr:ext cx="356762" cy="361078"/>
    <xdr:pic>
      <xdr:nvPicPr>
        <xdr:cNvPr id="2" name="Imagem 2">
          <a:extLst>
            <a:ext uri="{FF2B5EF4-FFF2-40B4-BE49-F238E27FC236}">
              <a16:creationId xmlns:a16="http://schemas.microsoft.com/office/drawing/2014/main" id="{751DA1C9-24DA-DEAF-B96E-7DA2B16D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4894792" y="231733"/>
          <a:ext cx="356762" cy="36107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1170214</xdr:colOff>
      <xdr:row>0</xdr:row>
      <xdr:rowOff>0</xdr:rowOff>
    </xdr:from>
    <xdr:to>
      <xdr:col>2</xdr:col>
      <xdr:colOff>626953</xdr:colOff>
      <xdr:row>0</xdr:row>
      <xdr:rowOff>2206534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6844-F202-4087-86AE-73611862485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309" y="0"/>
          <a:ext cx="1476311" cy="746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CB1D-CD00-4658-BEE7-AA090C59AF85}">
  <dimension ref="A1:Q34"/>
  <sheetViews>
    <sheetView workbookViewId="0">
      <selection sqref="A1:XFD1048576"/>
    </sheetView>
  </sheetViews>
  <sheetFormatPr defaultRowHeight="13.8"/>
  <cols>
    <col min="1" max="1" width="1.59765625" customWidth="1"/>
    <col min="2" max="2" width="11" style="20" customWidth="1"/>
    <col min="3" max="3" width="27.3984375" style="20" customWidth="1"/>
    <col min="4" max="6" width="8.09765625" style="20" customWidth="1"/>
    <col min="7" max="11" width="11.8984375" style="20" customWidth="1"/>
    <col min="12" max="14" width="12.59765625" style="20" customWidth="1"/>
    <col min="15" max="15" width="14" style="20" customWidth="1"/>
    <col min="16" max="16" width="15.09765625" style="20" customWidth="1"/>
    <col min="17" max="17" width="12.59765625" style="20" customWidth="1"/>
    <col min="18" max="21" width="8" customWidth="1"/>
    <col min="22" max="22" width="13.5" customWidth="1"/>
    <col min="23" max="23" width="1.59765625" customWidth="1"/>
    <col min="24" max="1024" width="8" customWidth="1"/>
    <col min="1025" max="1025" width="9" customWidth="1"/>
  </cols>
  <sheetData>
    <row r="1" spans="1:17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29.25" customHeight="1">
      <c r="A2" s="1"/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4.6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1:17" ht="35.85" customHeight="1">
      <c r="A4" s="1"/>
      <c r="B4" s="35" t="s">
        <v>1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ht="6" customHeight="1">
      <c r="A5" s="1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spans="1:17" ht="29.1" customHeight="1">
      <c r="A6" s="1"/>
      <c r="B6" s="26" t="s">
        <v>2</v>
      </c>
      <c r="C6" s="26"/>
      <c r="D6" s="36" t="s">
        <v>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26" t="s">
        <v>4</v>
      </c>
      <c r="P6" s="26"/>
      <c r="Q6" s="26"/>
    </row>
    <row r="7" spans="1:17">
      <c r="A7" s="1"/>
      <c r="B7" s="30" t="s">
        <v>5</v>
      </c>
      <c r="C7" s="30"/>
      <c r="D7" s="32" t="s">
        <v>6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3">
        <v>45931</v>
      </c>
      <c r="P7" s="33"/>
      <c r="Q7" s="33"/>
    </row>
    <row r="8" spans="1:17" ht="23.1" customHeight="1">
      <c r="A8" s="1"/>
      <c r="B8" s="30"/>
      <c r="C8" s="30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3"/>
      <c r="P8" s="33"/>
      <c r="Q8" s="33"/>
    </row>
    <row r="9" spans="1:17" ht="4.5" customHeight="1">
      <c r="A9" s="1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</row>
    <row r="10" spans="1:17" ht="17.850000000000001" customHeight="1">
      <c r="A10" s="1"/>
      <c r="B10" s="26" t="s">
        <v>7</v>
      </c>
      <c r="C10" s="26"/>
      <c r="D10" s="26" t="s">
        <v>8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 t="s">
        <v>9</v>
      </c>
      <c r="P10" s="26"/>
      <c r="Q10" s="26"/>
    </row>
    <row r="11" spans="1:17">
      <c r="A11" s="1"/>
      <c r="B11" s="29" t="s">
        <v>10</v>
      </c>
      <c r="C11" s="29"/>
      <c r="D11" s="30" t="s">
        <v>11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>
        <v>460069717</v>
      </c>
      <c r="P11" s="31"/>
      <c r="Q11" s="31"/>
    </row>
    <row r="12" spans="1:17" ht="16.350000000000001" customHeight="1">
      <c r="A12" s="1"/>
      <c r="B12" s="29"/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1"/>
      <c r="P12" s="31"/>
      <c r="Q12" s="31"/>
    </row>
    <row r="13" spans="1:17" ht="4.5" customHeight="1">
      <c r="A13" s="1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15" customHeight="1">
      <c r="A14" s="1"/>
      <c r="B14" s="26" t="s">
        <v>12</v>
      </c>
      <c r="C14" s="26" t="s">
        <v>13</v>
      </c>
      <c r="D14" s="26" t="s">
        <v>14</v>
      </c>
      <c r="E14" s="26"/>
      <c r="F14" s="26"/>
      <c r="G14" s="26" t="s">
        <v>15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1:17" ht="15" customHeight="1">
      <c r="A15" s="1"/>
      <c r="B15" s="26"/>
      <c r="C15" s="26"/>
      <c r="D15" s="26"/>
      <c r="E15" s="26"/>
      <c r="F15" s="26"/>
      <c r="G15" s="27" t="s">
        <v>16</v>
      </c>
      <c r="H15" s="27"/>
      <c r="I15" s="27"/>
      <c r="J15" s="28" t="s">
        <v>17</v>
      </c>
      <c r="K15" s="28" t="s">
        <v>18</v>
      </c>
      <c r="L15" s="27" t="s">
        <v>19</v>
      </c>
      <c r="M15" s="27"/>
      <c r="N15" s="27"/>
      <c r="O15" s="27"/>
      <c r="P15" s="27"/>
      <c r="Q15" s="27"/>
    </row>
    <row r="16" spans="1:17" ht="67.2" customHeight="1">
      <c r="A16" s="1"/>
      <c r="B16" s="26"/>
      <c r="C16" s="26"/>
      <c r="D16" s="26"/>
      <c r="E16" s="26"/>
      <c r="F16" s="26"/>
      <c r="G16" s="11" t="s">
        <v>20</v>
      </c>
      <c r="H16" s="11" t="s">
        <v>21</v>
      </c>
      <c r="I16" s="11" t="s">
        <v>22</v>
      </c>
      <c r="J16" s="28"/>
      <c r="K16" s="28"/>
      <c r="L16" s="11" t="s">
        <v>23</v>
      </c>
      <c r="M16" s="11" t="s">
        <v>24</v>
      </c>
      <c r="N16" s="11" t="s">
        <v>25</v>
      </c>
      <c r="O16" s="11" t="s">
        <v>26</v>
      </c>
      <c r="P16" s="11" t="s">
        <v>27</v>
      </c>
      <c r="Q16" s="11" t="s">
        <v>28</v>
      </c>
    </row>
    <row r="17" spans="1:17" ht="15.6" customHeight="1">
      <c r="A17" s="1"/>
      <c r="B17" s="12" t="s">
        <v>29</v>
      </c>
      <c r="C17" s="13">
        <v>124</v>
      </c>
      <c r="D17" s="24">
        <v>26799</v>
      </c>
      <c r="E17" s="24"/>
      <c r="F17" s="24"/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4">
        <f t="shared" ref="L17" si="0">G17*1000000/D17</f>
        <v>0</v>
      </c>
      <c r="M17" s="14">
        <f t="shared" ref="M17" si="1">H17*1000000/D17</f>
        <v>0</v>
      </c>
      <c r="N17" s="15">
        <f t="shared" ref="N17" si="2">I17*1000000/D17</f>
        <v>0</v>
      </c>
      <c r="O17" s="14">
        <f t="shared" ref="O17" si="3">(G17+I17)*1000000/D17</f>
        <v>0</v>
      </c>
      <c r="P17" s="14">
        <f t="shared" ref="P17" si="4">(G17+H17)*1000000/D17</f>
        <v>0</v>
      </c>
      <c r="Q17" s="16">
        <f t="shared" ref="Q17" si="5">(J17+K17)*1000000/D17</f>
        <v>0</v>
      </c>
    </row>
    <row r="18" spans="1:17">
      <c r="A18" s="1"/>
      <c r="B18" s="12" t="s">
        <v>30</v>
      </c>
      <c r="C18" s="17">
        <v>112</v>
      </c>
      <c r="D18" s="24">
        <v>22763</v>
      </c>
      <c r="E18" s="24"/>
      <c r="F18" s="24"/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4">
        <f t="shared" ref="L18:L26" si="6">G18*1000000/D18</f>
        <v>0</v>
      </c>
      <c r="M18" s="14">
        <f t="shared" ref="M18:M26" si="7">H18*1000000/D18</f>
        <v>0</v>
      </c>
      <c r="N18" s="15">
        <f t="shared" ref="N18:N26" si="8">I18*1000000/D18</f>
        <v>0</v>
      </c>
      <c r="O18" s="14">
        <f t="shared" ref="O18:O24" si="9">(G18+I18)*1000000/D18</f>
        <v>0</v>
      </c>
      <c r="P18" s="14">
        <f t="shared" ref="P18:P26" si="10">(G18+H18)*1000000/D18</f>
        <v>0</v>
      </c>
      <c r="Q18" s="16">
        <f t="shared" ref="Q18:Q26" si="11">(J18+K18)*1000000/D18</f>
        <v>0</v>
      </c>
    </row>
    <row r="19" spans="1:17">
      <c r="A19" s="1"/>
      <c r="B19" s="12" t="s">
        <v>31</v>
      </c>
      <c r="C19" s="17">
        <v>113</v>
      </c>
      <c r="D19" s="24">
        <v>19628</v>
      </c>
      <c r="E19" s="24"/>
      <c r="F19" s="24"/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4">
        <f t="shared" si="6"/>
        <v>0</v>
      </c>
      <c r="M19" s="14">
        <f t="shared" si="7"/>
        <v>0</v>
      </c>
      <c r="N19" s="15">
        <f t="shared" si="8"/>
        <v>0</v>
      </c>
      <c r="O19" s="14">
        <f t="shared" si="9"/>
        <v>0</v>
      </c>
      <c r="P19" s="14">
        <f t="shared" si="10"/>
        <v>0</v>
      </c>
      <c r="Q19" s="16">
        <f t="shared" si="11"/>
        <v>0</v>
      </c>
    </row>
    <row r="20" spans="1:17" ht="14.85" customHeight="1">
      <c r="A20" s="1"/>
      <c r="B20" s="12" t="s">
        <v>32</v>
      </c>
      <c r="C20" s="17">
        <v>119</v>
      </c>
      <c r="D20" s="24">
        <v>22493</v>
      </c>
      <c r="E20" s="24"/>
      <c r="F20" s="24"/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4">
        <f t="shared" si="6"/>
        <v>0</v>
      </c>
      <c r="M20" s="14">
        <f t="shared" si="7"/>
        <v>0</v>
      </c>
      <c r="N20" s="15">
        <f t="shared" si="8"/>
        <v>0</v>
      </c>
      <c r="O20" s="14">
        <f t="shared" si="9"/>
        <v>0</v>
      </c>
      <c r="P20" s="14">
        <f t="shared" si="10"/>
        <v>0</v>
      </c>
      <c r="Q20" s="16">
        <f t="shared" si="11"/>
        <v>0</v>
      </c>
    </row>
    <row r="21" spans="1:17">
      <c r="A21" s="1"/>
      <c r="B21" s="12" t="s">
        <v>33</v>
      </c>
      <c r="C21" s="17">
        <v>142</v>
      </c>
      <c r="D21" s="24">
        <v>23802</v>
      </c>
      <c r="E21" s="24"/>
      <c r="F21" s="24"/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4">
        <f t="shared" si="6"/>
        <v>0</v>
      </c>
      <c r="M21" s="14">
        <f t="shared" si="7"/>
        <v>0</v>
      </c>
      <c r="N21" s="15">
        <f t="shared" si="8"/>
        <v>0</v>
      </c>
      <c r="O21" s="14">
        <f t="shared" si="9"/>
        <v>0</v>
      </c>
      <c r="P21" s="14">
        <f t="shared" si="10"/>
        <v>0</v>
      </c>
      <c r="Q21" s="16">
        <f t="shared" si="11"/>
        <v>0</v>
      </c>
    </row>
    <row r="22" spans="1:17">
      <c r="A22" s="1"/>
      <c r="B22" s="12" t="s">
        <v>34</v>
      </c>
      <c r="C22" s="17">
        <v>122</v>
      </c>
      <c r="D22" s="24">
        <v>21096</v>
      </c>
      <c r="E22" s="24"/>
      <c r="F22" s="24"/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4">
        <f t="shared" si="6"/>
        <v>0</v>
      </c>
      <c r="M22" s="14">
        <f t="shared" si="7"/>
        <v>0</v>
      </c>
      <c r="N22" s="15">
        <f t="shared" si="8"/>
        <v>0</v>
      </c>
      <c r="O22" s="14">
        <f t="shared" si="9"/>
        <v>0</v>
      </c>
      <c r="P22" s="14">
        <f t="shared" si="10"/>
        <v>0</v>
      </c>
      <c r="Q22" s="16">
        <f t="shared" si="11"/>
        <v>0</v>
      </c>
    </row>
    <row r="23" spans="1:17">
      <c r="A23" s="1"/>
      <c r="B23" s="12" t="s">
        <v>35</v>
      </c>
      <c r="C23" s="17">
        <v>118</v>
      </c>
      <c r="D23" s="24">
        <v>24255</v>
      </c>
      <c r="E23" s="24"/>
      <c r="F23" s="24"/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4">
        <f t="shared" si="6"/>
        <v>0</v>
      </c>
      <c r="M23" s="14">
        <f t="shared" si="7"/>
        <v>0</v>
      </c>
      <c r="N23" s="15">
        <f t="shared" si="8"/>
        <v>0</v>
      </c>
      <c r="O23" s="14">
        <f t="shared" si="9"/>
        <v>0</v>
      </c>
      <c r="P23" s="14">
        <f t="shared" si="10"/>
        <v>0</v>
      </c>
      <c r="Q23" s="16">
        <f t="shared" si="11"/>
        <v>0</v>
      </c>
    </row>
    <row r="24" spans="1:17">
      <c r="A24" s="1"/>
      <c r="B24" s="12" t="s">
        <v>36</v>
      </c>
      <c r="C24" s="17">
        <v>117</v>
      </c>
      <c r="D24" s="24">
        <v>21987</v>
      </c>
      <c r="E24" s="24"/>
      <c r="F24" s="24"/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4">
        <f t="shared" si="6"/>
        <v>0</v>
      </c>
      <c r="M24" s="14">
        <f t="shared" si="7"/>
        <v>0</v>
      </c>
      <c r="N24" s="15">
        <f t="shared" si="8"/>
        <v>0</v>
      </c>
      <c r="O24" s="14">
        <f t="shared" si="9"/>
        <v>0</v>
      </c>
      <c r="P24" s="14">
        <f t="shared" si="10"/>
        <v>0</v>
      </c>
      <c r="Q24" s="16">
        <f t="shared" si="11"/>
        <v>0</v>
      </c>
    </row>
    <row r="25" spans="1:17">
      <c r="A25" s="1"/>
      <c r="B25" s="12" t="s">
        <v>37</v>
      </c>
      <c r="C25" s="17">
        <v>119</v>
      </c>
      <c r="D25" s="24">
        <v>21494</v>
      </c>
      <c r="E25" s="24"/>
      <c r="F25" s="24"/>
      <c r="G25" s="13">
        <v>0</v>
      </c>
      <c r="H25" s="13">
        <v>1</v>
      </c>
      <c r="I25" s="13">
        <v>0</v>
      </c>
      <c r="J25" s="13">
        <v>0</v>
      </c>
      <c r="K25" s="13">
        <v>0</v>
      </c>
      <c r="L25" s="14">
        <f t="shared" si="6"/>
        <v>0</v>
      </c>
      <c r="M25" s="14">
        <f t="shared" si="7"/>
        <v>46.52461151949381</v>
      </c>
      <c r="N25" s="15">
        <f t="shared" si="8"/>
        <v>0</v>
      </c>
      <c r="O25" s="14">
        <f>(G25+I25)*1000000/D25</f>
        <v>0</v>
      </c>
      <c r="P25" s="14">
        <f t="shared" si="10"/>
        <v>46.52461151949381</v>
      </c>
      <c r="Q25" s="16">
        <f t="shared" si="11"/>
        <v>0</v>
      </c>
    </row>
    <row r="26" spans="1:17">
      <c r="A26" s="1"/>
      <c r="B26" s="12" t="s">
        <v>38</v>
      </c>
      <c r="C26" s="17">
        <v>114</v>
      </c>
      <c r="D26" s="24">
        <v>21974</v>
      </c>
      <c r="E26" s="24"/>
      <c r="F26" s="24"/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f t="shared" si="6"/>
        <v>0</v>
      </c>
      <c r="M26" s="14">
        <f t="shared" si="7"/>
        <v>0</v>
      </c>
      <c r="N26" s="15">
        <f t="shared" si="8"/>
        <v>0</v>
      </c>
      <c r="O26" s="14">
        <f>(G26+I26)*1000000/D26</f>
        <v>0</v>
      </c>
      <c r="P26" s="14">
        <f t="shared" si="10"/>
        <v>0</v>
      </c>
      <c r="Q26" s="16">
        <f t="shared" si="11"/>
        <v>0</v>
      </c>
    </row>
    <row r="27" spans="1:17">
      <c r="A27" s="1"/>
      <c r="B27" s="12" t="s">
        <v>39</v>
      </c>
      <c r="C27" s="17"/>
      <c r="D27" s="24"/>
      <c r="E27" s="24"/>
      <c r="F27" s="24"/>
      <c r="G27" s="13"/>
      <c r="H27" s="13"/>
      <c r="I27" s="13"/>
      <c r="J27" s="13"/>
      <c r="K27" s="13"/>
      <c r="L27" s="14"/>
      <c r="M27" s="14"/>
      <c r="N27" s="15"/>
      <c r="O27" s="14"/>
      <c r="P27" s="14"/>
      <c r="Q27" s="16"/>
    </row>
    <row r="28" spans="1:17">
      <c r="A28" s="1"/>
      <c r="B28" s="12" t="s">
        <v>40</v>
      </c>
      <c r="C28" s="17"/>
      <c r="D28" s="25"/>
      <c r="E28" s="25"/>
      <c r="F28" s="25"/>
      <c r="G28" s="13"/>
      <c r="H28" s="13"/>
      <c r="I28" s="13"/>
      <c r="J28" s="13"/>
      <c r="K28" s="13"/>
      <c r="L28" s="14"/>
      <c r="M28" s="14"/>
      <c r="N28" s="15"/>
      <c r="O28" s="14"/>
      <c r="P28" s="14"/>
      <c r="Q28" s="16"/>
    </row>
    <row r="29" spans="1:17" ht="4.5" customHeight="1">
      <c r="A29" s="1"/>
      <c r="B29" s="5"/>
      <c r="C29" s="9"/>
      <c r="D29" s="9"/>
      <c r="E29" s="9"/>
      <c r="F29" s="9"/>
      <c r="G29" s="6"/>
      <c r="H29" s="6"/>
      <c r="I29" s="6"/>
      <c r="J29" s="6"/>
      <c r="K29" s="6"/>
      <c r="L29" s="6"/>
      <c r="M29" s="6"/>
      <c r="N29" s="6"/>
      <c r="O29" s="6"/>
      <c r="P29" s="18" t="e">
        <f>(G29+H29+I29)*1000000/D29</f>
        <v>#DIV/0!</v>
      </c>
      <c r="Q29" s="7"/>
    </row>
    <row r="30" spans="1:17">
      <c r="A30" s="1"/>
      <c r="B30" s="22" t="s">
        <v>41</v>
      </c>
      <c r="C30" s="22"/>
      <c r="D30" s="23">
        <f>SUM(D17:F28)</f>
        <v>226291</v>
      </c>
      <c r="E30" s="23"/>
      <c r="F30" s="23"/>
      <c r="G30" s="19">
        <f>SUM(G17:G28)</f>
        <v>0</v>
      </c>
      <c r="H30" s="19">
        <f>SUM(H17:H28)</f>
        <v>1</v>
      </c>
      <c r="I30" s="19">
        <f>SUM(I17:I28)</f>
        <v>0</v>
      </c>
      <c r="J30" s="19">
        <f>SUM(J17:J28)</f>
        <v>0</v>
      </c>
      <c r="K30" s="19">
        <f>SUM(K17:K28)</f>
        <v>0</v>
      </c>
      <c r="L30" s="18">
        <f>G30*1000000/D30</f>
        <v>0</v>
      </c>
      <c r="M30" s="18">
        <f>H30*1000000/D30</f>
        <v>4.4190886955292079</v>
      </c>
      <c r="N30" s="18">
        <f>I30*1000000/D30</f>
        <v>0</v>
      </c>
      <c r="O30" s="18">
        <f>(G30+I30)*1000000/D30</f>
        <v>0</v>
      </c>
      <c r="P30" s="18">
        <f>(G30+H30+I30)*1000000/D30</f>
        <v>4.4190886955292079</v>
      </c>
      <c r="Q30" s="18">
        <f>(J30+K30)*1000000/D30</f>
        <v>0</v>
      </c>
    </row>
    <row r="31" spans="1:17" ht="4.5" customHeight="1">
      <c r="A31" s="1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7"/>
    </row>
    <row r="34" spans="14:14">
      <c r="N34" s="21"/>
    </row>
  </sheetData>
  <mergeCells count="36">
    <mergeCell ref="B7:C8"/>
    <mergeCell ref="D7:N8"/>
    <mergeCell ref="O7:Q8"/>
    <mergeCell ref="B2:Q2"/>
    <mergeCell ref="B4:Q4"/>
    <mergeCell ref="B6:C6"/>
    <mergeCell ref="D6:N6"/>
    <mergeCell ref="O6:Q6"/>
    <mergeCell ref="B10:C10"/>
    <mergeCell ref="D10:N10"/>
    <mergeCell ref="O10:Q10"/>
    <mergeCell ref="B11:C12"/>
    <mergeCell ref="D11:N12"/>
    <mergeCell ref="O11:Q12"/>
    <mergeCell ref="D22:F22"/>
    <mergeCell ref="B14:B16"/>
    <mergeCell ref="C14:C16"/>
    <mergeCell ref="D14:F16"/>
    <mergeCell ref="G14:Q14"/>
    <mergeCell ref="G15:I15"/>
    <mergeCell ref="J15:J16"/>
    <mergeCell ref="K15:K16"/>
    <mergeCell ref="L15:Q15"/>
    <mergeCell ref="D17:F17"/>
    <mergeCell ref="D18:F18"/>
    <mergeCell ref="D19:F19"/>
    <mergeCell ref="D20:F20"/>
    <mergeCell ref="D21:F21"/>
    <mergeCell ref="B30:C30"/>
    <mergeCell ref="D30:F30"/>
    <mergeCell ref="D23:F23"/>
    <mergeCell ref="D24:F24"/>
    <mergeCell ref="D25:F25"/>
    <mergeCell ref="D26:F26"/>
    <mergeCell ref="D27:F27"/>
    <mergeCell ref="D28:F28"/>
  </mergeCells>
  <printOptions horizontalCentered="1" verticalCentered="1"/>
  <pageMargins left="0" right="0" top="0" bottom="0" header="0" footer="0"/>
  <pageSetup paperSize="0" scale="66" fitToWidth="0" fitToHeight="0" orientation="landscape" cellComments="asDisplayed" horizontalDpi="0" verticalDpi="0" copies="0"/>
  <headerFooter>
    <oddHeader>&amp;C&amp;A</oddHeader>
    <oddFooter>&amp;L&amp;1#&amp;"Trebuchet MS,Regular"&amp;9&amp;K008542INTERNA&amp;C&amp;"Calibri,Regular"Página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7563-50E9-4836-8034-B9D32D3DBCCD}">
  <dimension ref="A2:O34"/>
  <sheetViews>
    <sheetView zoomScaleNormal="100" workbookViewId="0">
      <selection activeCell="F16" sqref="F16"/>
    </sheetView>
  </sheetViews>
  <sheetFormatPr defaultRowHeight="13.8"/>
  <cols>
    <col min="1" max="1" width="18.09765625" customWidth="1"/>
  </cols>
  <sheetData>
    <row r="2" spans="1:15" ht="13.8" customHeight="1">
      <c r="A2" s="55" t="s">
        <v>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4" spans="1:15" ht="13.8" customHeight="1">
      <c r="A4" s="56" t="s">
        <v>1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ht="14.4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</row>
    <row r="6" spans="1:15">
      <c r="A6" s="40" t="s">
        <v>2</v>
      </c>
      <c r="B6" s="42"/>
      <c r="C6" s="40" t="s">
        <v>3</v>
      </c>
      <c r="D6" s="41"/>
      <c r="E6" s="41"/>
      <c r="F6" s="41"/>
      <c r="G6" s="41"/>
      <c r="H6" s="41"/>
      <c r="I6" s="41"/>
      <c r="J6" s="41"/>
      <c r="K6" s="41"/>
      <c r="L6" s="41"/>
      <c r="M6" s="42"/>
      <c r="N6" s="40" t="s">
        <v>4</v>
      </c>
      <c r="O6" s="42"/>
    </row>
    <row r="7" spans="1:15" ht="13.8" customHeight="1">
      <c r="A7" s="49" t="s">
        <v>43</v>
      </c>
      <c r="B7" s="51"/>
      <c r="C7" s="95" t="s">
        <v>6</v>
      </c>
      <c r="D7" s="96"/>
      <c r="E7" s="96"/>
      <c r="F7" s="96"/>
      <c r="G7" s="96"/>
      <c r="H7" s="96"/>
      <c r="I7" s="96"/>
      <c r="J7" s="96"/>
      <c r="K7" s="96"/>
      <c r="L7" s="96"/>
      <c r="M7" s="97"/>
      <c r="N7" s="91">
        <v>45931</v>
      </c>
      <c r="O7" s="92"/>
    </row>
    <row r="8" spans="1:15">
      <c r="A8" s="52"/>
      <c r="B8" s="54"/>
      <c r="C8" s="98"/>
      <c r="D8" s="99"/>
      <c r="E8" s="99"/>
      <c r="F8" s="99"/>
      <c r="G8" s="99"/>
      <c r="H8" s="99"/>
      <c r="I8" s="99"/>
      <c r="J8" s="99"/>
      <c r="K8" s="99"/>
      <c r="L8" s="99"/>
      <c r="M8" s="100"/>
      <c r="N8" s="93"/>
      <c r="O8" s="94"/>
    </row>
    <row r="9" spans="1:1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</row>
    <row r="10" spans="1:15">
      <c r="A10" s="40" t="s">
        <v>7</v>
      </c>
      <c r="B10" s="42"/>
      <c r="C10" s="40" t="s">
        <v>8</v>
      </c>
      <c r="D10" s="41"/>
      <c r="E10" s="41"/>
      <c r="F10" s="41"/>
      <c r="G10" s="41"/>
      <c r="H10" s="41"/>
      <c r="I10" s="41"/>
      <c r="J10" s="41"/>
      <c r="K10" s="41"/>
      <c r="L10" s="41"/>
      <c r="M10" s="42"/>
      <c r="N10" s="40" t="s">
        <v>9</v>
      </c>
      <c r="O10" s="42"/>
    </row>
    <row r="11" spans="1:15">
      <c r="A11" s="49" t="s">
        <v>44</v>
      </c>
      <c r="B11" s="51"/>
      <c r="C11" s="49" t="s">
        <v>45</v>
      </c>
      <c r="D11" s="50"/>
      <c r="E11" s="50"/>
      <c r="F11" s="50"/>
      <c r="G11" s="50"/>
      <c r="H11" s="50"/>
      <c r="I11" s="50"/>
      <c r="J11" s="50"/>
      <c r="K11" s="50"/>
      <c r="L11" s="50"/>
      <c r="M11" s="51"/>
      <c r="N11" s="49">
        <v>4600669715</v>
      </c>
      <c r="O11" s="51"/>
    </row>
    <row r="12" spans="1:15">
      <c r="A12" s="52"/>
      <c r="B12" s="54"/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52"/>
      <c r="O12" s="54"/>
    </row>
    <row r="13" spans="1:15" ht="14.4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</row>
    <row r="14" spans="1:15" ht="13.8" customHeight="1">
      <c r="A14" s="108" t="s">
        <v>12</v>
      </c>
      <c r="B14" s="57" t="s">
        <v>13</v>
      </c>
      <c r="C14" s="104" t="s">
        <v>14</v>
      </c>
      <c r="D14" s="60"/>
      <c r="E14" s="61"/>
      <c r="F14" s="40" t="s">
        <v>15</v>
      </c>
      <c r="G14" s="41"/>
      <c r="H14" s="42"/>
      <c r="I14" s="78"/>
      <c r="J14" s="78"/>
      <c r="K14" s="78"/>
      <c r="L14" s="78"/>
      <c r="M14" s="78"/>
      <c r="N14" s="78"/>
      <c r="O14" s="78"/>
    </row>
    <row r="15" spans="1:15" ht="13.8" customHeight="1">
      <c r="A15" s="109"/>
      <c r="B15" s="58"/>
      <c r="C15" s="105"/>
      <c r="D15" s="106"/>
      <c r="E15" s="62"/>
      <c r="F15" s="101" t="s">
        <v>46</v>
      </c>
      <c r="G15" s="102"/>
      <c r="H15" s="103"/>
      <c r="I15" s="65" t="s">
        <v>17</v>
      </c>
      <c r="J15" s="65" t="s">
        <v>18</v>
      </c>
      <c r="K15" s="101" t="s">
        <v>19</v>
      </c>
      <c r="L15" s="102"/>
      <c r="M15" s="102"/>
      <c r="N15" s="102"/>
      <c r="O15" s="103"/>
    </row>
    <row r="16" spans="1:15" ht="66">
      <c r="A16" s="110"/>
      <c r="B16" s="59"/>
      <c r="C16" s="107"/>
      <c r="D16" s="63"/>
      <c r="E16" s="64"/>
      <c r="F16" s="79" t="s">
        <v>20</v>
      </c>
      <c r="G16" s="79" t="s">
        <v>21</v>
      </c>
      <c r="H16" s="79" t="s">
        <v>22</v>
      </c>
      <c r="I16" s="66"/>
      <c r="J16" s="66"/>
      <c r="K16" s="79" t="s">
        <v>23</v>
      </c>
      <c r="L16" s="79" t="s">
        <v>24</v>
      </c>
      <c r="M16" s="79" t="s">
        <v>25</v>
      </c>
      <c r="N16" s="79" t="s">
        <v>47</v>
      </c>
      <c r="O16" s="79" t="s">
        <v>48</v>
      </c>
    </row>
    <row r="17" spans="1:15">
      <c r="A17" s="73" t="s">
        <v>29</v>
      </c>
      <c r="B17" s="74">
        <v>130</v>
      </c>
      <c r="C17" s="38">
        <v>28659</v>
      </c>
      <c r="D17" s="37"/>
      <c r="E17" s="39"/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</row>
    <row r="18" spans="1:15">
      <c r="A18" s="73" t="s">
        <v>30</v>
      </c>
      <c r="B18" s="74">
        <v>164</v>
      </c>
      <c r="C18" s="38">
        <v>30769</v>
      </c>
      <c r="D18" s="37"/>
      <c r="E18" s="39"/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</row>
    <row r="19" spans="1:15">
      <c r="A19" s="73" t="s">
        <v>31</v>
      </c>
      <c r="B19" s="74">
        <v>170</v>
      </c>
      <c r="C19" s="38">
        <v>38889</v>
      </c>
      <c r="D19" s="37"/>
      <c r="E19" s="39"/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</row>
    <row r="20" spans="1:15">
      <c r="A20" s="73" t="s">
        <v>32</v>
      </c>
      <c r="B20" s="74">
        <v>148</v>
      </c>
      <c r="C20" s="38">
        <v>38442</v>
      </c>
      <c r="D20" s="37"/>
      <c r="E20" s="39"/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</row>
    <row r="21" spans="1:15">
      <c r="A21" s="73" t="s">
        <v>33</v>
      </c>
      <c r="B21" s="74">
        <v>149</v>
      </c>
      <c r="C21" s="38">
        <v>33208</v>
      </c>
      <c r="D21" s="37"/>
      <c r="E21" s="39"/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</row>
    <row r="22" spans="1:15">
      <c r="A22" s="73" t="s">
        <v>34</v>
      </c>
      <c r="B22" s="74">
        <v>147</v>
      </c>
      <c r="C22" s="38">
        <v>30945</v>
      </c>
      <c r="D22" s="37"/>
      <c r="E22" s="39"/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</row>
    <row r="23" spans="1:15">
      <c r="A23" s="73" t="s">
        <v>35</v>
      </c>
      <c r="B23" s="74">
        <v>146</v>
      </c>
      <c r="C23" s="38">
        <v>30844</v>
      </c>
      <c r="D23" s="37"/>
      <c r="E23" s="39"/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</row>
    <row r="24" spans="1:15">
      <c r="A24" s="73" t="s">
        <v>36</v>
      </c>
      <c r="B24" s="74">
        <v>136</v>
      </c>
      <c r="C24" s="38">
        <v>28290</v>
      </c>
      <c r="D24" s="37"/>
      <c r="E24" s="39"/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</row>
    <row r="25" spans="1:15">
      <c r="A25" s="73" t="s">
        <v>37</v>
      </c>
      <c r="B25" s="74">
        <v>135</v>
      </c>
      <c r="C25" s="38">
        <v>29782</v>
      </c>
      <c r="D25" s="37"/>
      <c r="E25" s="39"/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</row>
    <row r="26" spans="1:15">
      <c r="A26" s="73" t="s">
        <v>38</v>
      </c>
      <c r="B26" s="74">
        <v>133</v>
      </c>
      <c r="C26" s="38">
        <v>28284</v>
      </c>
      <c r="D26" s="37"/>
      <c r="E26" s="39"/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</row>
    <row r="27" spans="1:15" ht="14.4">
      <c r="A27" s="73" t="s">
        <v>39</v>
      </c>
      <c r="B27" s="74"/>
      <c r="C27" s="68"/>
      <c r="D27" s="80"/>
      <c r="E27" s="81"/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</row>
    <row r="28" spans="1:15">
      <c r="A28" s="73" t="s">
        <v>40</v>
      </c>
      <c r="B28" s="74"/>
      <c r="C28" s="38"/>
      <c r="D28" s="37"/>
      <c r="E28" s="39"/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</row>
    <row r="29" spans="1:15" ht="14.4">
      <c r="A29" s="70"/>
      <c r="B29" s="72"/>
      <c r="C29" s="72"/>
      <c r="D29" s="72"/>
      <c r="E29" s="72"/>
      <c r="F29" s="71">
        <v>0</v>
      </c>
      <c r="G29" s="71">
        <v>0</v>
      </c>
      <c r="H29" s="70"/>
      <c r="I29" s="70"/>
      <c r="J29" s="70"/>
      <c r="K29" s="77">
        <v>0</v>
      </c>
      <c r="L29" s="77">
        <v>0</v>
      </c>
      <c r="M29" s="77">
        <v>0</v>
      </c>
      <c r="N29" s="77">
        <v>0</v>
      </c>
      <c r="O29" s="77">
        <v>0</v>
      </c>
    </row>
    <row r="30" spans="1:15">
      <c r="A30" s="82" t="s">
        <v>41</v>
      </c>
      <c r="B30" s="83"/>
      <c r="C30" s="84">
        <v>318112</v>
      </c>
      <c r="D30" s="85"/>
      <c r="E30" s="86"/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</row>
    <row r="31" spans="1:15" ht="14.4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 spans="1:15">
      <c r="A32" s="40" t="s">
        <v>49</v>
      </c>
      <c r="B32" s="41"/>
      <c r="C32" s="41"/>
      <c r="D32" s="41"/>
      <c r="E32" s="41"/>
      <c r="F32" s="42"/>
      <c r="G32" s="40" t="s">
        <v>50</v>
      </c>
      <c r="H32" s="41"/>
      <c r="I32" s="41"/>
      <c r="J32" s="41"/>
      <c r="K32" s="41"/>
      <c r="L32" s="41"/>
      <c r="M32" s="42"/>
      <c r="N32" s="40" t="s">
        <v>51</v>
      </c>
      <c r="O32" s="42"/>
    </row>
    <row r="33" spans="1:15">
      <c r="A33" s="43"/>
      <c r="B33" s="44"/>
      <c r="C33" s="44"/>
      <c r="D33" s="44"/>
      <c r="E33" s="44"/>
      <c r="F33" s="69"/>
      <c r="G33" s="43"/>
      <c r="H33" s="44"/>
      <c r="I33" s="44"/>
      <c r="J33" s="44"/>
      <c r="K33" s="44"/>
      <c r="L33" s="44"/>
      <c r="M33" s="69"/>
      <c r="N33" s="87">
        <v>45962</v>
      </c>
      <c r="O33" s="88"/>
    </row>
    <row r="34" spans="1:15">
      <c r="A34" s="45"/>
      <c r="B34" s="46"/>
      <c r="C34" s="46"/>
      <c r="D34" s="46"/>
      <c r="E34" s="46"/>
      <c r="F34" s="67"/>
      <c r="G34" s="45"/>
      <c r="H34" s="46"/>
      <c r="I34" s="46"/>
      <c r="J34" s="46"/>
      <c r="K34" s="46"/>
      <c r="L34" s="46"/>
      <c r="M34" s="67"/>
      <c r="N34" s="89"/>
      <c r="O34" s="90"/>
    </row>
  </sheetData>
  <mergeCells count="42">
    <mergeCell ref="A2:O2"/>
    <mergeCell ref="A4:O4"/>
    <mergeCell ref="A14:A16"/>
    <mergeCell ref="B14:B16"/>
    <mergeCell ref="C14:E16"/>
    <mergeCell ref="F15:H15"/>
    <mergeCell ref="I15:I16"/>
    <mergeCell ref="J15:J16"/>
    <mergeCell ref="K15:O15"/>
    <mergeCell ref="C6:M6"/>
    <mergeCell ref="N6:O6"/>
    <mergeCell ref="A7:B8"/>
    <mergeCell ref="C7:M8"/>
    <mergeCell ref="N7:O8"/>
    <mergeCell ref="A6:B6"/>
    <mergeCell ref="N10:O10"/>
    <mergeCell ref="C10:M10"/>
    <mergeCell ref="C11:M12"/>
    <mergeCell ref="F14:H14"/>
    <mergeCell ref="A11:B12"/>
    <mergeCell ref="N33:O34"/>
    <mergeCell ref="C30:E30"/>
    <mergeCell ref="A30:B30"/>
    <mergeCell ref="A10:B10"/>
    <mergeCell ref="C22:E22"/>
    <mergeCell ref="C27:E27"/>
    <mergeCell ref="C28:E28"/>
    <mergeCell ref="C23:E23"/>
    <mergeCell ref="C24:E24"/>
    <mergeCell ref="C26:E26"/>
    <mergeCell ref="C17:E17"/>
    <mergeCell ref="N11:O12"/>
    <mergeCell ref="A32:F32"/>
    <mergeCell ref="N32:O32"/>
    <mergeCell ref="A33:F34"/>
    <mergeCell ref="G32:M32"/>
    <mergeCell ref="G33:M34"/>
    <mergeCell ref="C18:E18"/>
    <mergeCell ref="C19:E19"/>
    <mergeCell ref="C20:E20"/>
    <mergeCell ref="C21:E21"/>
    <mergeCell ref="C25:E2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4E-7455-478B-99AC-5442A7A9CF57}">
  <dimension ref="B1:R33"/>
  <sheetViews>
    <sheetView workbookViewId="0">
      <selection activeCell="D13" sqref="D13"/>
    </sheetView>
  </sheetViews>
  <sheetFormatPr defaultRowHeight="13.8"/>
  <cols>
    <col min="2" max="2" width="13.796875" customWidth="1"/>
    <col min="4" max="4" width="35.69921875" bestFit="1" customWidth="1"/>
  </cols>
  <sheetData>
    <row r="1" spans="2:18">
      <c r="B1" s="141" t="s">
        <v>52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</row>
    <row r="2" spans="2:18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</row>
    <row r="3" spans="2:18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</row>
    <row r="4" spans="2:18">
      <c r="B4" s="114" t="s">
        <v>1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31"/>
    </row>
    <row r="5" spans="2:18" ht="14.4"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</row>
    <row r="6" spans="2:18">
      <c r="B6" s="138" t="s">
        <v>2</v>
      </c>
      <c r="C6" s="138"/>
      <c r="D6" s="138" t="s">
        <v>3</v>
      </c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 t="s">
        <v>4</v>
      </c>
      <c r="Q6" s="138"/>
      <c r="R6" s="138"/>
    </row>
    <row r="7" spans="2:18">
      <c r="B7" s="139" t="s">
        <v>53</v>
      </c>
      <c r="C7" s="139"/>
      <c r="D7" s="139" t="s">
        <v>54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40">
        <v>45931</v>
      </c>
      <c r="Q7" s="140"/>
      <c r="R7" s="140"/>
    </row>
    <row r="8" spans="2:18"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140"/>
      <c r="R8" s="140"/>
    </row>
    <row r="9" spans="2:18"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</row>
    <row r="10" spans="2:18">
      <c r="B10" s="138" t="s">
        <v>55</v>
      </c>
      <c r="C10" s="138"/>
      <c r="D10" s="143" t="s">
        <v>56</v>
      </c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5"/>
      <c r="P10" s="138" t="s">
        <v>57</v>
      </c>
      <c r="Q10" s="138"/>
      <c r="R10" s="138"/>
    </row>
    <row r="11" spans="2:18">
      <c r="B11" s="139" t="s">
        <v>58</v>
      </c>
      <c r="C11" s="139"/>
      <c r="D11" s="139" t="s">
        <v>59</v>
      </c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>
        <v>4600676789</v>
      </c>
      <c r="Q11" s="139"/>
      <c r="R11" s="139"/>
    </row>
    <row r="12" spans="2:18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</row>
    <row r="13" spans="2:18" ht="14.4"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</row>
    <row r="14" spans="2:18">
      <c r="B14" s="132" t="s">
        <v>12</v>
      </c>
      <c r="C14" s="133" t="s">
        <v>13</v>
      </c>
      <c r="D14" s="136" t="s">
        <v>14</v>
      </c>
      <c r="E14" s="146" t="s">
        <v>60</v>
      </c>
      <c r="F14" s="146"/>
      <c r="G14" s="147"/>
      <c r="H14" s="132" t="s">
        <v>15</v>
      </c>
      <c r="I14" s="132"/>
      <c r="J14" s="132"/>
      <c r="K14" s="132"/>
      <c r="L14" s="132"/>
      <c r="M14" s="132"/>
      <c r="N14" s="132"/>
      <c r="O14" s="132"/>
      <c r="P14" s="132"/>
      <c r="Q14" s="132"/>
      <c r="R14" s="132"/>
    </row>
    <row r="15" spans="2:18">
      <c r="B15" s="132"/>
      <c r="C15" s="134"/>
      <c r="D15" s="136"/>
      <c r="E15" s="148"/>
      <c r="F15" s="148"/>
      <c r="G15" s="149"/>
      <c r="H15" s="150" t="s">
        <v>46</v>
      </c>
      <c r="I15" s="151"/>
      <c r="J15" s="151"/>
      <c r="K15" s="151"/>
      <c r="L15" s="152"/>
      <c r="M15" s="137" t="s">
        <v>19</v>
      </c>
      <c r="N15" s="137"/>
      <c r="O15" s="137"/>
      <c r="P15" s="137"/>
      <c r="Q15" s="137"/>
      <c r="R15" s="137"/>
    </row>
    <row r="16" spans="2:18" ht="79.2">
      <c r="B16" s="132"/>
      <c r="C16" s="135"/>
      <c r="D16" s="136"/>
      <c r="E16" s="125" t="s">
        <v>61</v>
      </c>
      <c r="F16" s="125" t="s">
        <v>62</v>
      </c>
      <c r="G16" s="125" t="s">
        <v>63</v>
      </c>
      <c r="H16" s="122" t="s">
        <v>20</v>
      </c>
      <c r="I16" s="122" t="s">
        <v>64</v>
      </c>
      <c r="J16" s="122" t="s">
        <v>22</v>
      </c>
      <c r="K16" s="123" t="s">
        <v>17</v>
      </c>
      <c r="L16" s="123" t="s">
        <v>18</v>
      </c>
      <c r="M16" s="124" t="s">
        <v>23</v>
      </c>
      <c r="N16" s="124" t="s">
        <v>24</v>
      </c>
      <c r="O16" s="124" t="s">
        <v>25</v>
      </c>
      <c r="P16" s="124" t="s">
        <v>65</v>
      </c>
      <c r="Q16" s="124" t="s">
        <v>66</v>
      </c>
      <c r="R16" s="124" t="s">
        <v>48</v>
      </c>
    </row>
    <row r="17" spans="2:18" ht="15">
      <c r="B17" s="126">
        <v>45658</v>
      </c>
      <c r="C17" s="119">
        <v>127</v>
      </c>
      <c r="D17" s="121">
        <v>21479</v>
      </c>
      <c r="E17" s="119">
        <v>0</v>
      </c>
      <c r="F17" s="119">
        <v>0</v>
      </c>
      <c r="G17" s="119">
        <v>0</v>
      </c>
      <c r="H17" s="119">
        <v>0</v>
      </c>
      <c r="I17" s="119">
        <v>0</v>
      </c>
      <c r="J17" s="119">
        <v>0</v>
      </c>
      <c r="K17" s="119">
        <v>0</v>
      </c>
      <c r="L17" s="119">
        <v>0</v>
      </c>
      <c r="M17" s="127">
        <v>0</v>
      </c>
      <c r="N17" s="127">
        <v>0</v>
      </c>
      <c r="O17" s="127">
        <v>0</v>
      </c>
      <c r="P17" s="127">
        <v>0</v>
      </c>
      <c r="Q17" s="127">
        <v>0</v>
      </c>
      <c r="R17" s="127">
        <v>0</v>
      </c>
    </row>
    <row r="18" spans="2:18" ht="15">
      <c r="B18" s="126">
        <v>45689</v>
      </c>
      <c r="C18" s="119">
        <v>127</v>
      </c>
      <c r="D18" s="121">
        <v>18840</v>
      </c>
      <c r="E18" s="119">
        <v>0</v>
      </c>
      <c r="F18" s="119">
        <v>0</v>
      </c>
      <c r="G18" s="119">
        <v>0</v>
      </c>
      <c r="H18" s="119">
        <v>0</v>
      </c>
      <c r="I18" s="119">
        <v>0</v>
      </c>
      <c r="J18" s="119">
        <v>0</v>
      </c>
      <c r="K18" s="119">
        <v>0</v>
      </c>
      <c r="L18" s="119">
        <v>0</v>
      </c>
      <c r="M18" s="127">
        <v>0</v>
      </c>
      <c r="N18" s="127">
        <v>0</v>
      </c>
      <c r="O18" s="127">
        <v>0</v>
      </c>
      <c r="P18" s="127">
        <v>0</v>
      </c>
      <c r="Q18" s="127">
        <v>0</v>
      </c>
      <c r="R18" s="127">
        <v>0</v>
      </c>
    </row>
    <row r="19" spans="2:18" ht="15">
      <c r="B19" s="126">
        <v>45717</v>
      </c>
      <c r="C19" s="128">
        <v>130</v>
      </c>
      <c r="D19" s="129">
        <v>19364</v>
      </c>
      <c r="E19" s="119">
        <v>0</v>
      </c>
      <c r="F19" s="119">
        <v>0</v>
      </c>
      <c r="G19" s="119">
        <v>0</v>
      </c>
      <c r="H19" s="119">
        <v>0</v>
      </c>
      <c r="I19" s="119">
        <v>0</v>
      </c>
      <c r="J19" s="119">
        <v>0</v>
      </c>
      <c r="K19" s="119">
        <v>0</v>
      </c>
      <c r="L19" s="119">
        <v>0</v>
      </c>
      <c r="M19" s="127">
        <v>0</v>
      </c>
      <c r="N19" s="127">
        <v>0</v>
      </c>
      <c r="O19" s="127">
        <v>0</v>
      </c>
      <c r="P19" s="127">
        <v>0</v>
      </c>
      <c r="Q19" s="127">
        <v>0</v>
      </c>
      <c r="R19" s="127">
        <v>0</v>
      </c>
    </row>
    <row r="20" spans="2:18" ht="15">
      <c r="B20" s="126">
        <v>45748</v>
      </c>
      <c r="C20" s="128">
        <v>125</v>
      </c>
      <c r="D20" s="130">
        <v>21042</v>
      </c>
      <c r="E20" s="119">
        <v>0</v>
      </c>
      <c r="F20" s="119">
        <v>0</v>
      </c>
      <c r="G20" s="119">
        <v>0</v>
      </c>
      <c r="H20" s="119">
        <v>0</v>
      </c>
      <c r="I20" s="119">
        <v>0</v>
      </c>
      <c r="J20" s="119">
        <v>0</v>
      </c>
      <c r="K20" s="119">
        <v>0</v>
      </c>
      <c r="L20" s="119">
        <v>0</v>
      </c>
      <c r="M20" s="127">
        <v>0</v>
      </c>
      <c r="N20" s="127">
        <v>0</v>
      </c>
      <c r="O20" s="127">
        <v>0</v>
      </c>
      <c r="P20" s="127">
        <v>0</v>
      </c>
      <c r="Q20" s="127">
        <v>0</v>
      </c>
      <c r="R20" s="127">
        <v>0</v>
      </c>
    </row>
    <row r="21" spans="2:18" ht="15">
      <c r="B21" s="126">
        <v>45778</v>
      </c>
      <c r="C21" s="128">
        <v>123</v>
      </c>
      <c r="D21" s="129">
        <v>21180</v>
      </c>
      <c r="E21" s="119">
        <v>0</v>
      </c>
      <c r="F21" s="119">
        <v>0</v>
      </c>
      <c r="G21" s="119">
        <v>0</v>
      </c>
      <c r="H21" s="119">
        <v>0</v>
      </c>
      <c r="I21" s="119">
        <v>0</v>
      </c>
      <c r="J21" s="119">
        <v>0</v>
      </c>
      <c r="K21" s="119">
        <v>0</v>
      </c>
      <c r="L21" s="119">
        <v>0</v>
      </c>
      <c r="M21" s="127">
        <v>0</v>
      </c>
      <c r="N21" s="127">
        <v>0</v>
      </c>
      <c r="O21" s="127">
        <v>0</v>
      </c>
      <c r="P21" s="127">
        <v>0</v>
      </c>
      <c r="Q21" s="127">
        <v>0</v>
      </c>
      <c r="R21" s="127">
        <v>0</v>
      </c>
    </row>
    <row r="22" spans="2:18" ht="15">
      <c r="B22" s="126">
        <v>45809</v>
      </c>
      <c r="C22" s="128">
        <v>120</v>
      </c>
      <c r="D22" s="129">
        <v>19439</v>
      </c>
      <c r="E22" s="119">
        <v>0</v>
      </c>
      <c r="F22" s="119">
        <v>0</v>
      </c>
      <c r="G22" s="119">
        <v>0</v>
      </c>
      <c r="H22" s="119">
        <v>0</v>
      </c>
      <c r="I22" s="119">
        <v>0</v>
      </c>
      <c r="J22" s="119">
        <v>0</v>
      </c>
      <c r="K22" s="119">
        <v>0</v>
      </c>
      <c r="L22" s="119">
        <v>0</v>
      </c>
      <c r="M22" s="127">
        <v>0</v>
      </c>
      <c r="N22" s="127">
        <v>0</v>
      </c>
      <c r="O22" s="127">
        <v>0</v>
      </c>
      <c r="P22" s="127">
        <v>0</v>
      </c>
      <c r="Q22" s="127">
        <v>0</v>
      </c>
      <c r="R22" s="127">
        <v>0</v>
      </c>
    </row>
    <row r="23" spans="2:18" ht="15">
      <c r="B23" s="126">
        <v>45839</v>
      </c>
      <c r="C23" s="119">
        <v>122</v>
      </c>
      <c r="D23" s="121">
        <v>23459</v>
      </c>
      <c r="E23" s="119">
        <v>0</v>
      </c>
      <c r="F23" s="119">
        <v>0</v>
      </c>
      <c r="G23" s="119">
        <v>0</v>
      </c>
      <c r="H23" s="119">
        <v>0</v>
      </c>
      <c r="I23" s="119">
        <v>0</v>
      </c>
      <c r="J23" s="119">
        <v>0</v>
      </c>
      <c r="K23" s="119">
        <v>0</v>
      </c>
      <c r="L23" s="119">
        <v>0</v>
      </c>
      <c r="M23" s="127">
        <v>0</v>
      </c>
      <c r="N23" s="127">
        <v>0</v>
      </c>
      <c r="O23" s="127">
        <v>0</v>
      </c>
      <c r="P23" s="127">
        <v>0</v>
      </c>
      <c r="Q23" s="127">
        <v>0</v>
      </c>
      <c r="R23" s="127">
        <v>0</v>
      </c>
    </row>
    <row r="24" spans="2:18" ht="15">
      <c r="B24" s="126">
        <v>45870</v>
      </c>
      <c r="C24" s="128">
        <v>121</v>
      </c>
      <c r="D24" s="129">
        <v>22328</v>
      </c>
      <c r="E24" s="128">
        <v>0</v>
      </c>
      <c r="F24" s="128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0</v>
      </c>
      <c r="L24" s="119">
        <v>0</v>
      </c>
      <c r="M24" s="118">
        <v>0</v>
      </c>
      <c r="N24" s="118">
        <v>0</v>
      </c>
      <c r="O24" s="118">
        <v>0</v>
      </c>
      <c r="P24" s="118">
        <v>0</v>
      </c>
      <c r="Q24" s="118">
        <v>0</v>
      </c>
      <c r="R24" s="118">
        <v>0</v>
      </c>
    </row>
    <row r="25" spans="2:18" ht="15">
      <c r="B25" s="126">
        <v>45901</v>
      </c>
      <c r="C25" s="119">
        <v>123</v>
      </c>
      <c r="D25" s="121">
        <v>21758</v>
      </c>
      <c r="E25" s="128">
        <v>0</v>
      </c>
      <c r="F25" s="128">
        <v>0</v>
      </c>
      <c r="G25" s="119">
        <v>0</v>
      </c>
      <c r="H25" s="119">
        <v>0</v>
      </c>
      <c r="I25" s="119">
        <v>0</v>
      </c>
      <c r="J25" s="119">
        <v>0</v>
      </c>
      <c r="K25" s="119">
        <v>0</v>
      </c>
      <c r="L25" s="119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</row>
    <row r="26" spans="2:18" ht="15">
      <c r="B26" s="126">
        <v>45931</v>
      </c>
      <c r="C26" s="119">
        <v>120</v>
      </c>
      <c r="D26" s="121">
        <v>22980</v>
      </c>
      <c r="E26" s="119">
        <v>0</v>
      </c>
      <c r="F26" s="119">
        <v>0</v>
      </c>
      <c r="G26" s="119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27">
        <v>0</v>
      </c>
      <c r="N26" s="127">
        <v>0</v>
      </c>
      <c r="O26" s="127">
        <v>0</v>
      </c>
      <c r="P26" s="127">
        <v>0</v>
      </c>
      <c r="Q26" s="127">
        <v>0</v>
      </c>
      <c r="R26" s="127">
        <v>0</v>
      </c>
    </row>
    <row r="27" spans="2:18" ht="15">
      <c r="B27" s="126">
        <v>45962</v>
      </c>
      <c r="C27" s="119"/>
      <c r="D27" s="121"/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27" t="e">
        <v>#DIV/0!</v>
      </c>
      <c r="N27" s="127" t="e">
        <v>#DIV/0!</v>
      </c>
      <c r="O27" s="127" t="e">
        <v>#DIV/0!</v>
      </c>
      <c r="P27" s="127" t="e">
        <v>#DIV/0!</v>
      </c>
      <c r="Q27" s="127" t="e">
        <v>#DIV/0!</v>
      </c>
      <c r="R27" s="127" t="e">
        <v>#DIV/0!</v>
      </c>
    </row>
    <row r="28" spans="2:18" ht="15">
      <c r="B28" s="126">
        <v>45992</v>
      </c>
      <c r="C28" s="119"/>
      <c r="D28" s="119"/>
      <c r="E28" s="119">
        <v>0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27" t="e">
        <v>#DIV/0!</v>
      </c>
      <c r="N28" s="127" t="e">
        <v>#DIV/0!</v>
      </c>
      <c r="O28" s="127" t="e">
        <v>#DIV/0!</v>
      </c>
      <c r="P28" s="127" t="e">
        <v>#DIV/0!</v>
      </c>
      <c r="Q28" s="127" t="e">
        <v>#DIV/0!</v>
      </c>
      <c r="R28" s="127" t="e">
        <v>#DIV/0!</v>
      </c>
    </row>
    <row r="29" spans="2:18">
      <c r="B29" s="142" t="s">
        <v>41</v>
      </c>
      <c r="C29" s="142"/>
      <c r="D29" s="120">
        <v>211869</v>
      </c>
      <c r="E29" s="118">
        <v>0</v>
      </c>
      <c r="F29" s="118">
        <v>0</v>
      </c>
      <c r="G29" s="118">
        <v>0</v>
      </c>
      <c r="H29" s="118">
        <v>0</v>
      </c>
      <c r="I29" s="118">
        <v>0</v>
      </c>
      <c r="J29" s="118">
        <v>0</v>
      </c>
      <c r="K29" s="118">
        <v>0</v>
      </c>
      <c r="L29" s="118">
        <v>0</v>
      </c>
      <c r="M29" s="118">
        <v>0</v>
      </c>
      <c r="N29" s="118">
        <v>0</v>
      </c>
      <c r="O29" s="118">
        <v>0</v>
      </c>
      <c r="P29" s="118">
        <v>0</v>
      </c>
      <c r="Q29" s="116">
        <v>0</v>
      </c>
      <c r="R29" s="118">
        <v>0</v>
      </c>
    </row>
    <row r="30" spans="2:18" ht="14.4"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</row>
    <row r="31" spans="2:18">
      <c r="B31" s="40" t="s">
        <v>49</v>
      </c>
      <c r="C31" s="41"/>
      <c r="D31" s="41"/>
      <c r="E31" s="41"/>
      <c r="F31" s="41"/>
      <c r="G31" s="41"/>
      <c r="H31" s="41"/>
      <c r="I31" s="47" t="s">
        <v>50</v>
      </c>
      <c r="J31" s="47"/>
      <c r="K31" s="47"/>
      <c r="L31" s="47"/>
      <c r="M31" s="47"/>
      <c r="N31" s="47"/>
      <c r="O31" s="47"/>
      <c r="P31" s="41" t="s">
        <v>51</v>
      </c>
      <c r="Q31" s="41"/>
      <c r="R31" s="42"/>
    </row>
    <row r="32" spans="2:18">
      <c r="B32" s="43"/>
      <c r="C32" s="44"/>
      <c r="D32" s="44"/>
      <c r="E32" s="44"/>
      <c r="F32" s="44"/>
      <c r="G32" s="44"/>
      <c r="H32" s="44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3" spans="2:18">
      <c r="B33" s="45"/>
      <c r="C33" s="46"/>
      <c r="D33" s="46"/>
      <c r="E33" s="46"/>
      <c r="F33" s="46"/>
      <c r="G33" s="46"/>
      <c r="H33" s="46"/>
      <c r="I33" s="48"/>
      <c r="J33" s="48"/>
      <c r="K33" s="48"/>
      <c r="L33" s="48"/>
      <c r="M33" s="48"/>
      <c r="N33" s="48"/>
      <c r="O33" s="48"/>
      <c r="P33" s="48"/>
      <c r="Q33" s="48"/>
      <c r="R33" s="48"/>
    </row>
  </sheetData>
  <mergeCells count="28">
    <mergeCell ref="B1:R3"/>
    <mergeCell ref="D7:O8"/>
    <mergeCell ref="P32:R33"/>
    <mergeCell ref="B29:C29"/>
    <mergeCell ref="B10:C10"/>
    <mergeCell ref="B32:H33"/>
    <mergeCell ref="I31:O31"/>
    <mergeCell ref="I32:O33"/>
    <mergeCell ref="D10:O10"/>
    <mergeCell ref="E14:G15"/>
    <mergeCell ref="P10:R10"/>
    <mergeCell ref="B11:C12"/>
    <mergeCell ref="P11:R12"/>
    <mergeCell ref="B31:H31"/>
    <mergeCell ref="P31:R31"/>
    <mergeCell ref="H15:L15"/>
    <mergeCell ref="B4:R4"/>
    <mergeCell ref="B14:B16"/>
    <mergeCell ref="C14:C16"/>
    <mergeCell ref="D14:D16"/>
    <mergeCell ref="H14:R14"/>
    <mergeCell ref="M15:R15"/>
    <mergeCell ref="D6:O6"/>
    <mergeCell ref="P6:R6"/>
    <mergeCell ref="B7:C8"/>
    <mergeCell ref="D11:O12"/>
    <mergeCell ref="P7:R8"/>
    <mergeCell ref="B6:C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1DCD-CD8F-4830-8E0C-A9B8A9FAB8C0}">
  <dimension ref="B1:T32"/>
  <sheetViews>
    <sheetView workbookViewId="0">
      <selection activeCell="K23" sqref="K23"/>
    </sheetView>
  </sheetViews>
  <sheetFormatPr defaultRowHeight="13.8"/>
  <cols>
    <col min="2" max="2" width="12.59765625" customWidth="1"/>
    <col min="15" max="15" width="12.69921875" customWidth="1"/>
    <col min="18" max="18" width="10.796875" bestFit="1" customWidth="1"/>
  </cols>
  <sheetData>
    <row r="1" spans="2:20"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</row>
    <row r="2" spans="2:20" ht="14.4">
      <c r="B2" s="161" t="s">
        <v>67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2:20"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2:20" ht="14.4">
      <c r="B4" s="163" t="s">
        <v>1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</row>
    <row r="5" spans="2:20"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</row>
    <row r="6" spans="2:20" ht="14.4">
      <c r="B6" s="166" t="s">
        <v>2</v>
      </c>
      <c r="C6" s="165"/>
      <c r="D6" s="166" t="s">
        <v>3</v>
      </c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5"/>
      <c r="R6" s="166" t="s">
        <v>4</v>
      </c>
      <c r="S6" s="164"/>
      <c r="T6" s="165"/>
    </row>
    <row r="7" spans="2:20">
      <c r="B7" s="176" t="s">
        <v>68</v>
      </c>
      <c r="C7" s="177"/>
      <c r="D7" s="179" t="s">
        <v>69</v>
      </c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1">
        <v>45960</v>
      </c>
      <c r="S7" s="182"/>
      <c r="T7" s="177"/>
    </row>
    <row r="8" spans="2:20">
      <c r="B8" s="178"/>
      <c r="C8" s="17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78"/>
      <c r="S8" s="169"/>
      <c r="T8" s="170"/>
    </row>
    <row r="9" spans="2:20">
      <c r="B9" s="153"/>
      <c r="C9" s="153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53"/>
      <c r="S9" s="153"/>
      <c r="T9" s="153"/>
    </row>
    <row r="10" spans="2:20" ht="14.4">
      <c r="B10" s="166" t="s">
        <v>55</v>
      </c>
      <c r="C10" s="165"/>
      <c r="D10" s="166" t="s">
        <v>56</v>
      </c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5"/>
      <c r="R10" s="166" t="s">
        <v>57</v>
      </c>
      <c r="S10" s="164"/>
      <c r="T10" s="165"/>
    </row>
    <row r="11" spans="2:20">
      <c r="B11" s="176" t="s">
        <v>70</v>
      </c>
      <c r="C11" s="177"/>
      <c r="D11" s="176" t="s">
        <v>71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77"/>
      <c r="R11" s="176">
        <v>4600674505</v>
      </c>
      <c r="S11" s="182"/>
      <c r="T11" s="177"/>
    </row>
    <row r="12" spans="2:20">
      <c r="B12" s="178"/>
      <c r="C12" s="170"/>
      <c r="D12" s="178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70"/>
      <c r="R12" s="178"/>
      <c r="S12" s="169"/>
      <c r="T12" s="170"/>
    </row>
    <row r="13" spans="2:20"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2:20" ht="14.4">
      <c r="B14" s="187" t="s">
        <v>12</v>
      </c>
      <c r="C14" s="189" t="s">
        <v>13</v>
      </c>
      <c r="D14" s="183" t="s">
        <v>14</v>
      </c>
      <c r="E14" s="182"/>
      <c r="F14" s="177"/>
      <c r="G14" s="185" t="s">
        <v>60</v>
      </c>
      <c r="H14" s="182"/>
      <c r="I14" s="177"/>
      <c r="J14" s="166" t="s">
        <v>15</v>
      </c>
      <c r="K14" s="164"/>
      <c r="L14" s="164"/>
      <c r="M14" s="164"/>
      <c r="N14" s="164"/>
      <c r="O14" s="164"/>
      <c r="P14" s="164"/>
      <c r="Q14" s="164"/>
      <c r="R14" s="164"/>
      <c r="S14" s="164"/>
      <c r="T14" s="165"/>
    </row>
    <row r="15" spans="2:20" ht="14.4">
      <c r="B15" s="188"/>
      <c r="C15" s="188"/>
      <c r="D15" s="162"/>
      <c r="E15" s="180"/>
      <c r="F15" s="184"/>
      <c r="G15" s="178"/>
      <c r="H15" s="169"/>
      <c r="I15" s="170"/>
      <c r="J15" s="167" t="s">
        <v>46</v>
      </c>
      <c r="K15" s="164"/>
      <c r="L15" s="165"/>
      <c r="M15" s="171" t="s">
        <v>17</v>
      </c>
      <c r="N15" s="171" t="s">
        <v>18</v>
      </c>
      <c r="O15" s="167" t="s">
        <v>19</v>
      </c>
      <c r="P15" s="164"/>
      <c r="Q15" s="164"/>
      <c r="R15" s="164"/>
      <c r="S15" s="164"/>
      <c r="T15" s="165"/>
    </row>
    <row r="16" spans="2:20" ht="79.2">
      <c r="B16" s="172"/>
      <c r="C16" s="172"/>
      <c r="D16" s="169"/>
      <c r="E16" s="169"/>
      <c r="F16" s="170"/>
      <c r="G16" s="158" t="s">
        <v>61</v>
      </c>
      <c r="H16" s="158" t="s">
        <v>62</v>
      </c>
      <c r="I16" s="158" t="s">
        <v>63</v>
      </c>
      <c r="J16" s="158" t="s">
        <v>20</v>
      </c>
      <c r="K16" s="158" t="s">
        <v>64</v>
      </c>
      <c r="L16" s="158" t="s">
        <v>22</v>
      </c>
      <c r="M16" s="172"/>
      <c r="N16" s="172"/>
      <c r="O16" s="158" t="s">
        <v>23</v>
      </c>
      <c r="P16" s="158" t="s">
        <v>24</v>
      </c>
      <c r="Q16" s="158" t="s">
        <v>25</v>
      </c>
      <c r="R16" s="158" t="s">
        <v>72</v>
      </c>
      <c r="S16" s="158" t="s">
        <v>73</v>
      </c>
      <c r="T16" s="158" t="s">
        <v>74</v>
      </c>
    </row>
    <row r="17" spans="2:20" ht="14.4">
      <c r="B17" s="157" t="s">
        <v>29</v>
      </c>
      <c r="C17" s="157">
        <v>269</v>
      </c>
      <c r="D17" s="168">
        <v>38958</v>
      </c>
      <c r="E17" s="169"/>
      <c r="F17" s="170"/>
      <c r="G17" s="157">
        <v>1</v>
      </c>
      <c r="H17" s="157">
        <v>0</v>
      </c>
      <c r="I17" s="157">
        <v>0</v>
      </c>
      <c r="J17" s="156">
        <v>0</v>
      </c>
      <c r="K17" s="156">
        <v>2</v>
      </c>
      <c r="L17" s="156">
        <v>0</v>
      </c>
      <c r="M17" s="156">
        <v>0</v>
      </c>
      <c r="N17" s="156">
        <v>0</v>
      </c>
      <c r="O17" s="160">
        <v>0</v>
      </c>
      <c r="P17" s="160">
        <v>51.337337645669699</v>
      </c>
      <c r="Q17" s="160">
        <v>0</v>
      </c>
      <c r="R17" s="160">
        <v>0</v>
      </c>
      <c r="S17" s="160">
        <v>51.337337645669699</v>
      </c>
      <c r="T17" s="160">
        <v>0</v>
      </c>
    </row>
    <row r="18" spans="2:20" ht="14.4">
      <c r="B18" s="157" t="s">
        <v>30</v>
      </c>
      <c r="C18" s="157">
        <v>266</v>
      </c>
      <c r="D18" s="168">
        <v>39602</v>
      </c>
      <c r="E18" s="169"/>
      <c r="F18" s="170"/>
      <c r="G18" s="157">
        <v>0</v>
      </c>
      <c r="H18" s="157">
        <v>0</v>
      </c>
      <c r="I18" s="157">
        <v>0</v>
      </c>
      <c r="J18" s="156">
        <v>1</v>
      </c>
      <c r="K18" s="156">
        <v>14</v>
      </c>
      <c r="L18" s="156">
        <v>0</v>
      </c>
      <c r="M18" s="156">
        <v>60</v>
      </c>
      <c r="N18" s="156">
        <v>0</v>
      </c>
      <c r="O18" s="160">
        <v>25.251249936871901</v>
      </c>
      <c r="P18" s="160">
        <v>353.51749911620601</v>
      </c>
      <c r="Q18" s="160">
        <v>0</v>
      </c>
      <c r="R18" s="160">
        <v>25.251249936871901</v>
      </c>
      <c r="S18" s="160">
        <v>378.76874905307801</v>
      </c>
      <c r="T18" s="160">
        <v>1515.07499621231</v>
      </c>
    </row>
    <row r="19" spans="2:20" ht="14.4">
      <c r="B19" s="157" t="s">
        <v>31</v>
      </c>
      <c r="C19" s="157">
        <v>255</v>
      </c>
      <c r="D19" s="168">
        <v>35961</v>
      </c>
      <c r="E19" s="169"/>
      <c r="F19" s="170"/>
      <c r="G19" s="157">
        <v>0</v>
      </c>
      <c r="H19" s="157">
        <v>0</v>
      </c>
      <c r="I19" s="157">
        <v>0</v>
      </c>
      <c r="J19" s="156">
        <v>0</v>
      </c>
      <c r="K19" s="156">
        <v>0</v>
      </c>
      <c r="L19" s="156">
        <v>0</v>
      </c>
      <c r="M19" s="156">
        <v>0</v>
      </c>
      <c r="N19" s="156">
        <v>0</v>
      </c>
      <c r="O19" s="160">
        <v>0</v>
      </c>
      <c r="P19" s="160">
        <v>0</v>
      </c>
      <c r="Q19" s="160">
        <v>0</v>
      </c>
      <c r="R19" s="160">
        <v>0</v>
      </c>
      <c r="S19" s="160">
        <v>0</v>
      </c>
      <c r="T19" s="160">
        <v>0</v>
      </c>
    </row>
    <row r="20" spans="2:20" ht="14.4">
      <c r="B20" s="157" t="s">
        <v>32</v>
      </c>
      <c r="C20" s="157">
        <v>287</v>
      </c>
      <c r="D20" s="168">
        <v>33526</v>
      </c>
      <c r="E20" s="169"/>
      <c r="F20" s="170"/>
      <c r="G20" s="157">
        <v>5</v>
      </c>
      <c r="H20" s="157">
        <v>0</v>
      </c>
      <c r="I20" s="157">
        <v>0</v>
      </c>
      <c r="J20" s="156">
        <v>0</v>
      </c>
      <c r="K20" s="156">
        <v>0</v>
      </c>
      <c r="L20" s="156">
        <v>0</v>
      </c>
      <c r="M20" s="156">
        <v>0</v>
      </c>
      <c r="N20" s="156">
        <v>0</v>
      </c>
      <c r="O20" s="160">
        <v>0</v>
      </c>
      <c r="P20" s="160">
        <v>0</v>
      </c>
      <c r="Q20" s="160">
        <v>0</v>
      </c>
      <c r="R20" s="160">
        <v>0</v>
      </c>
      <c r="S20" s="160">
        <v>0</v>
      </c>
      <c r="T20" s="160">
        <v>0</v>
      </c>
    </row>
    <row r="21" spans="2:20" ht="14.4">
      <c r="B21" s="157" t="s">
        <v>33</v>
      </c>
      <c r="C21" s="157">
        <v>309</v>
      </c>
      <c r="D21" s="168">
        <v>36214</v>
      </c>
      <c r="E21" s="169"/>
      <c r="F21" s="170"/>
      <c r="G21" s="157">
        <v>0</v>
      </c>
      <c r="H21" s="157">
        <v>0</v>
      </c>
      <c r="I21" s="157">
        <v>0</v>
      </c>
      <c r="J21" s="156">
        <v>0</v>
      </c>
      <c r="K21" s="156">
        <v>0</v>
      </c>
      <c r="L21" s="156">
        <v>0</v>
      </c>
      <c r="M21" s="156">
        <v>0</v>
      </c>
      <c r="N21" s="156">
        <v>0</v>
      </c>
      <c r="O21" s="160">
        <v>0</v>
      </c>
      <c r="P21" s="160">
        <v>0</v>
      </c>
      <c r="Q21" s="160">
        <v>0</v>
      </c>
      <c r="R21" s="160">
        <v>0</v>
      </c>
      <c r="S21" s="160">
        <v>0</v>
      </c>
      <c r="T21" s="160">
        <v>0</v>
      </c>
    </row>
    <row r="22" spans="2:20" ht="14.4">
      <c r="B22" s="157" t="s">
        <v>34</v>
      </c>
      <c r="C22" s="157">
        <v>304</v>
      </c>
      <c r="D22" s="168">
        <v>30088</v>
      </c>
      <c r="E22" s="169"/>
      <c r="F22" s="170"/>
      <c r="G22" s="157">
        <v>0</v>
      </c>
      <c r="H22" s="157">
        <v>0</v>
      </c>
      <c r="I22" s="157">
        <v>0</v>
      </c>
      <c r="J22" s="156">
        <v>0</v>
      </c>
      <c r="K22" s="156">
        <v>0</v>
      </c>
      <c r="L22" s="156">
        <v>0</v>
      </c>
      <c r="M22" s="156">
        <v>60</v>
      </c>
      <c r="N22" s="156">
        <v>0</v>
      </c>
      <c r="O22" s="160">
        <v>0</v>
      </c>
      <c r="P22" s="160">
        <v>0</v>
      </c>
      <c r="Q22" s="160">
        <v>0</v>
      </c>
      <c r="R22" s="160">
        <v>0</v>
      </c>
      <c r="S22" s="160">
        <v>0</v>
      </c>
      <c r="T22" s="160">
        <v>1994.15049189045</v>
      </c>
    </row>
    <row r="23" spans="2:20" ht="14.4">
      <c r="B23" s="157" t="s">
        <v>35</v>
      </c>
      <c r="C23" s="157">
        <v>308</v>
      </c>
      <c r="D23" s="168">
        <v>31689</v>
      </c>
      <c r="E23" s="169"/>
      <c r="F23" s="170"/>
      <c r="G23" s="157">
        <v>0</v>
      </c>
      <c r="H23" s="157">
        <v>0</v>
      </c>
      <c r="I23" s="157">
        <v>0</v>
      </c>
      <c r="J23" s="156">
        <v>1</v>
      </c>
      <c r="K23" s="156">
        <v>0</v>
      </c>
      <c r="L23" s="156">
        <v>0</v>
      </c>
      <c r="M23" s="156">
        <v>0</v>
      </c>
      <c r="N23" s="156">
        <v>0</v>
      </c>
      <c r="O23" s="160">
        <v>31.556691596453</v>
      </c>
      <c r="P23" s="160">
        <v>0</v>
      </c>
      <c r="Q23" s="160">
        <v>0</v>
      </c>
      <c r="R23" s="160">
        <v>31.556691596453</v>
      </c>
      <c r="S23" s="160">
        <v>31.556691596453</v>
      </c>
      <c r="T23" s="160">
        <v>0</v>
      </c>
    </row>
    <row r="24" spans="2:20" ht="14.4">
      <c r="B24" s="157" t="s">
        <v>36</v>
      </c>
      <c r="C24" s="157">
        <v>312</v>
      </c>
      <c r="D24" s="168">
        <v>34127</v>
      </c>
      <c r="E24" s="169"/>
      <c r="F24" s="170"/>
      <c r="G24" s="157">
        <v>0</v>
      </c>
      <c r="H24" s="157">
        <v>0</v>
      </c>
      <c r="I24" s="157">
        <v>0</v>
      </c>
      <c r="J24" s="156">
        <v>0</v>
      </c>
      <c r="K24" s="156">
        <v>0</v>
      </c>
      <c r="L24" s="156">
        <v>0</v>
      </c>
      <c r="M24" s="156">
        <v>0</v>
      </c>
      <c r="N24" s="156">
        <v>0</v>
      </c>
      <c r="O24" s="160">
        <v>0</v>
      </c>
      <c r="P24" s="160">
        <v>0</v>
      </c>
      <c r="Q24" s="160">
        <v>0</v>
      </c>
      <c r="R24" s="160">
        <v>0</v>
      </c>
      <c r="S24" s="160">
        <v>0</v>
      </c>
      <c r="T24" s="160">
        <v>0</v>
      </c>
    </row>
    <row r="25" spans="2:20" ht="14.4">
      <c r="B25" s="157" t="s">
        <v>37</v>
      </c>
      <c r="C25" s="157">
        <v>321</v>
      </c>
      <c r="D25" s="168">
        <v>36464</v>
      </c>
      <c r="E25" s="169"/>
      <c r="F25" s="170"/>
      <c r="G25" s="157">
        <v>0</v>
      </c>
      <c r="H25" s="157">
        <v>0</v>
      </c>
      <c r="I25" s="157">
        <v>0</v>
      </c>
      <c r="J25" s="156">
        <v>0</v>
      </c>
      <c r="K25" s="156">
        <v>0</v>
      </c>
      <c r="L25" s="156">
        <v>0</v>
      </c>
      <c r="M25" s="156">
        <v>0</v>
      </c>
      <c r="N25" s="156">
        <v>0</v>
      </c>
      <c r="O25" s="160">
        <v>0</v>
      </c>
      <c r="P25" s="160">
        <v>0</v>
      </c>
      <c r="Q25" s="160">
        <v>0</v>
      </c>
      <c r="R25" s="160">
        <v>0</v>
      </c>
      <c r="S25" s="160">
        <v>0</v>
      </c>
      <c r="T25" s="160">
        <v>0</v>
      </c>
    </row>
    <row r="26" spans="2:20" ht="14.4">
      <c r="B26" s="157" t="s">
        <v>38</v>
      </c>
      <c r="C26" s="157">
        <v>346</v>
      </c>
      <c r="D26" s="168">
        <v>34416</v>
      </c>
      <c r="E26" s="169"/>
      <c r="F26" s="170"/>
      <c r="G26" s="157">
        <v>0</v>
      </c>
      <c r="H26" s="157">
        <v>0</v>
      </c>
      <c r="I26" s="157">
        <v>0</v>
      </c>
      <c r="J26" s="156">
        <v>0</v>
      </c>
      <c r="K26" s="156">
        <v>0</v>
      </c>
      <c r="L26" s="156">
        <v>0</v>
      </c>
      <c r="M26" s="156">
        <v>0</v>
      </c>
      <c r="N26" s="156">
        <v>0</v>
      </c>
      <c r="O26" s="160">
        <v>0</v>
      </c>
      <c r="P26" s="160">
        <v>0</v>
      </c>
      <c r="Q26" s="160">
        <v>0</v>
      </c>
      <c r="R26" s="160">
        <v>0</v>
      </c>
      <c r="S26" s="160">
        <v>0</v>
      </c>
      <c r="T26" s="160">
        <v>0</v>
      </c>
    </row>
    <row r="27" spans="2:20" ht="14.4">
      <c r="B27" s="157" t="s">
        <v>39</v>
      </c>
      <c r="C27" s="157"/>
      <c r="D27" s="173"/>
      <c r="E27" s="164"/>
      <c r="F27" s="165"/>
      <c r="G27" s="157">
        <v>0</v>
      </c>
      <c r="H27" s="157">
        <v>0</v>
      </c>
      <c r="I27" s="157">
        <v>0</v>
      </c>
      <c r="J27" s="156">
        <v>0</v>
      </c>
      <c r="K27" s="156">
        <v>0</v>
      </c>
      <c r="L27" s="156">
        <v>0</v>
      </c>
      <c r="M27" s="156">
        <v>0</v>
      </c>
      <c r="N27" s="156">
        <v>0</v>
      </c>
      <c r="O27" s="160" t="e">
        <v>#DIV/0!</v>
      </c>
      <c r="P27" s="160" t="e">
        <v>#DIV/0!</v>
      </c>
      <c r="Q27" s="160" t="e">
        <v>#DIV/0!</v>
      </c>
      <c r="R27" s="160" t="e">
        <v>#DIV/0!</v>
      </c>
      <c r="S27" s="160" t="e">
        <v>#DIV/0!</v>
      </c>
      <c r="T27" s="160" t="e">
        <v>#DIV/0!</v>
      </c>
    </row>
    <row r="28" spans="2:20" ht="14.4">
      <c r="B28" s="157" t="s">
        <v>40</v>
      </c>
      <c r="C28" s="157"/>
      <c r="D28" s="173"/>
      <c r="E28" s="164"/>
      <c r="F28" s="165"/>
      <c r="G28" s="157">
        <v>0</v>
      </c>
      <c r="H28" s="157">
        <v>0</v>
      </c>
      <c r="I28" s="157">
        <v>0</v>
      </c>
      <c r="J28" s="156">
        <v>0</v>
      </c>
      <c r="K28" s="156">
        <v>0</v>
      </c>
      <c r="L28" s="156">
        <v>0</v>
      </c>
      <c r="M28" s="156">
        <v>0</v>
      </c>
      <c r="N28" s="156">
        <v>0</v>
      </c>
      <c r="O28" s="160" t="e">
        <v>#DIV/0!</v>
      </c>
      <c r="P28" s="160" t="e">
        <v>#DIV/0!</v>
      </c>
      <c r="Q28" s="160" t="e">
        <v>#DIV/0!</v>
      </c>
      <c r="R28" s="160" t="e">
        <v>#DIV/0!</v>
      </c>
      <c r="S28" s="160" t="e">
        <v>#DIV/0!</v>
      </c>
      <c r="T28" s="160" t="e">
        <v>#DIV/0!</v>
      </c>
    </row>
    <row r="29" spans="2:20">
      <c r="B29" s="155"/>
      <c r="C29" s="154"/>
      <c r="D29" s="154"/>
      <c r="E29" s="154"/>
      <c r="F29" s="154"/>
      <c r="G29" s="154"/>
      <c r="H29" s="154"/>
      <c r="I29" s="154"/>
      <c r="J29" s="155"/>
      <c r="K29" s="155"/>
      <c r="L29" s="155"/>
      <c r="M29" s="155"/>
      <c r="N29" s="155"/>
      <c r="O29" s="160" t="e">
        <v>#DIV/0!</v>
      </c>
      <c r="P29" s="154"/>
      <c r="Q29" s="154"/>
      <c r="R29" s="154"/>
      <c r="S29" s="154"/>
      <c r="T29" s="154"/>
    </row>
    <row r="30" spans="2:20" ht="14.4">
      <c r="B30" s="174" t="s">
        <v>41</v>
      </c>
      <c r="C30" s="165"/>
      <c r="D30" s="175">
        <v>351045</v>
      </c>
      <c r="E30" s="164"/>
      <c r="F30" s="165"/>
      <c r="G30" s="159">
        <v>1</v>
      </c>
      <c r="H30" s="159">
        <v>0</v>
      </c>
      <c r="I30" s="159">
        <v>0</v>
      </c>
      <c r="J30" s="159">
        <v>2</v>
      </c>
      <c r="K30" s="159">
        <v>16</v>
      </c>
      <c r="L30" s="159">
        <v>0</v>
      </c>
      <c r="M30" s="159">
        <v>120</v>
      </c>
      <c r="N30" s="159">
        <v>0</v>
      </c>
      <c r="O30" s="159">
        <v>5.6972752780982496</v>
      </c>
      <c r="P30" s="159">
        <v>45.578202224785997</v>
      </c>
      <c r="Q30" s="159">
        <v>0</v>
      </c>
      <c r="R30" s="159">
        <v>5.6972752780982496</v>
      </c>
      <c r="S30" s="160">
        <v>51.2754775028842</v>
      </c>
      <c r="T30" s="159">
        <v>341.83651668589499</v>
      </c>
    </row>
    <row r="31" spans="2:20"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</row>
    <row r="32" spans="2:20" ht="14.4">
      <c r="B32" s="166" t="s">
        <v>49</v>
      </c>
      <c r="C32" s="164"/>
      <c r="D32" s="164"/>
      <c r="E32" s="164"/>
      <c r="F32" s="164"/>
      <c r="G32" s="164"/>
      <c r="H32" s="164"/>
      <c r="I32" s="164"/>
      <c r="J32" s="164"/>
      <c r="K32" s="166" t="s">
        <v>50</v>
      </c>
      <c r="L32" s="164"/>
      <c r="M32" s="164"/>
      <c r="N32" s="164"/>
      <c r="O32" s="164"/>
      <c r="P32" s="164"/>
      <c r="Q32" s="165"/>
      <c r="R32" s="186" t="s">
        <v>51</v>
      </c>
      <c r="S32" s="164"/>
      <c r="T32" s="165"/>
    </row>
  </sheetData>
  <mergeCells count="40">
    <mergeCell ref="K32:Q32"/>
    <mergeCell ref="R32:T32"/>
    <mergeCell ref="B14:B16"/>
    <mergeCell ref="C14:C16"/>
    <mergeCell ref="M15:M16"/>
    <mergeCell ref="B7:C8"/>
    <mergeCell ref="B11:C12"/>
    <mergeCell ref="D7:Q9"/>
    <mergeCell ref="R7:T8"/>
    <mergeCell ref="D11:Q12"/>
    <mergeCell ref="R11:T12"/>
    <mergeCell ref="D17:F17"/>
    <mergeCell ref="D18:F18"/>
    <mergeCell ref="D19:F19"/>
    <mergeCell ref="D20:F20"/>
    <mergeCell ref="D21:F21"/>
    <mergeCell ref="B32:J32"/>
    <mergeCell ref="D22:F22"/>
    <mergeCell ref="D23:F23"/>
    <mergeCell ref="D24:F24"/>
    <mergeCell ref="D25:F25"/>
    <mergeCell ref="D26:F26"/>
    <mergeCell ref="D27:F27"/>
    <mergeCell ref="D28:F28"/>
    <mergeCell ref="B30:C30"/>
    <mergeCell ref="D30:F30"/>
    <mergeCell ref="B10:C10"/>
    <mergeCell ref="D10:Q10"/>
    <mergeCell ref="R10:T10"/>
    <mergeCell ref="J14:T14"/>
    <mergeCell ref="J15:L15"/>
    <mergeCell ref="O15:T15"/>
    <mergeCell ref="N15:N16"/>
    <mergeCell ref="D14:F16"/>
    <mergeCell ref="G14:I15"/>
    <mergeCell ref="B2:T2"/>
    <mergeCell ref="B4:T4"/>
    <mergeCell ref="B6:C6"/>
    <mergeCell ref="D6:Q6"/>
    <mergeCell ref="R6:T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327E-D522-4E75-BB48-2764BBE359B1}">
  <dimension ref="A1:V22"/>
  <sheetViews>
    <sheetView tabSelected="1" zoomScale="70" zoomScaleNormal="70" workbookViewId="0">
      <selection activeCell="L9" sqref="L9"/>
    </sheetView>
  </sheetViews>
  <sheetFormatPr defaultRowHeight="13.8"/>
  <cols>
    <col min="1" max="1" width="17.59765625" bestFit="1" customWidth="1"/>
    <col min="3" max="3" width="9.796875" bestFit="1" customWidth="1"/>
    <col min="4" max="4" width="15" bestFit="1" customWidth="1"/>
    <col min="5" max="5" width="25" bestFit="1" customWidth="1"/>
    <col min="6" max="6" width="18.5" bestFit="1" customWidth="1"/>
    <col min="13" max="13" width="15.09765625" customWidth="1"/>
    <col min="20" max="20" width="30.796875" customWidth="1"/>
  </cols>
  <sheetData>
    <row r="1" spans="1:22" ht="186" customHeight="1" thickBot="1">
      <c r="A1" s="190"/>
      <c r="B1" s="191"/>
      <c r="C1" s="191"/>
      <c r="D1" s="192"/>
      <c r="E1" s="193" t="s">
        <v>75</v>
      </c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  <c r="V1" s="196"/>
    </row>
    <row r="2" spans="1:22" ht="61.2" thickBot="1">
      <c r="A2" s="197"/>
      <c r="B2" s="198"/>
      <c r="C2" s="198"/>
      <c r="D2" s="198"/>
      <c r="E2" s="199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1"/>
      <c r="V2" s="202"/>
    </row>
    <row r="3" spans="1:22" ht="23.4" thickBot="1">
      <c r="A3" s="203" t="s">
        <v>76</v>
      </c>
      <c r="B3" s="204"/>
      <c r="C3" s="205"/>
      <c r="D3" s="206" t="s">
        <v>3</v>
      </c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8"/>
      <c r="U3" s="203" t="s">
        <v>4</v>
      </c>
      <c r="V3" s="209"/>
    </row>
    <row r="4" spans="1:22" ht="23.4" thickBot="1">
      <c r="A4" s="210" t="s">
        <v>77</v>
      </c>
      <c r="B4" s="211"/>
      <c r="C4" s="212"/>
      <c r="D4" s="213" t="s">
        <v>78</v>
      </c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5"/>
      <c r="U4" s="216">
        <v>45505</v>
      </c>
      <c r="V4" s="217"/>
    </row>
    <row r="5" spans="1:22" ht="23.4" thickBot="1">
      <c r="A5" s="218" t="s">
        <v>79</v>
      </c>
      <c r="B5" s="219"/>
      <c r="C5" s="220"/>
      <c r="D5" s="206" t="s">
        <v>80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8"/>
      <c r="U5" s="203" t="s">
        <v>81</v>
      </c>
      <c r="V5" s="209"/>
    </row>
    <row r="6" spans="1:22" ht="23.4" thickBot="1">
      <c r="A6" s="221" t="s">
        <v>82</v>
      </c>
      <c r="B6" s="222"/>
      <c r="C6" s="223"/>
      <c r="D6" s="224"/>
      <c r="E6" s="225" t="s">
        <v>83</v>
      </c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6" t="s">
        <v>84</v>
      </c>
      <c r="V6" s="227"/>
    </row>
    <row r="7" spans="1:22" ht="23.4" thickBot="1">
      <c r="A7" s="228"/>
      <c r="B7" s="229"/>
      <c r="C7" s="230"/>
      <c r="D7" s="231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2"/>
      <c r="S7" s="232"/>
      <c r="T7" s="232"/>
      <c r="U7" s="232"/>
      <c r="V7" s="233"/>
    </row>
    <row r="8" spans="1:22" ht="22.8">
      <c r="A8" s="234" t="s">
        <v>85</v>
      </c>
      <c r="B8" s="235" t="s">
        <v>86</v>
      </c>
      <c r="C8" s="236"/>
      <c r="D8" s="237" t="s">
        <v>87</v>
      </c>
      <c r="E8" s="238"/>
      <c r="F8" s="236"/>
      <c r="G8" s="239" t="s">
        <v>88</v>
      </c>
      <c r="H8" s="240"/>
      <c r="I8" s="240"/>
      <c r="J8" s="240"/>
      <c r="K8" s="240"/>
      <c r="L8" s="240"/>
      <c r="M8" s="240"/>
      <c r="N8" s="240"/>
      <c r="O8" s="240"/>
      <c r="P8" s="241"/>
      <c r="Q8" s="242" t="s">
        <v>89</v>
      </c>
      <c r="R8" s="237" t="s">
        <v>90</v>
      </c>
      <c r="S8" s="236"/>
      <c r="T8" s="242" t="s">
        <v>91</v>
      </c>
      <c r="U8" s="242" t="s">
        <v>92</v>
      </c>
      <c r="V8" s="242" t="s">
        <v>93</v>
      </c>
    </row>
    <row r="9" spans="1:22" ht="114.6" customHeight="1" thickBot="1">
      <c r="A9" s="243"/>
      <c r="B9" s="244" t="s">
        <v>94</v>
      </c>
      <c r="C9" s="245" t="s">
        <v>95</v>
      </c>
      <c r="D9" s="246" t="s">
        <v>94</v>
      </c>
      <c r="E9" s="244" t="s">
        <v>95</v>
      </c>
      <c r="F9" s="247" t="s">
        <v>96</v>
      </c>
      <c r="G9" s="248" t="s">
        <v>97</v>
      </c>
      <c r="H9" s="249" t="s">
        <v>98</v>
      </c>
      <c r="I9" s="250" t="s">
        <v>99</v>
      </c>
      <c r="J9" s="250" t="s">
        <v>100</v>
      </c>
      <c r="K9" s="250" t="s">
        <v>101</v>
      </c>
      <c r="L9" s="251" t="s">
        <v>102</v>
      </c>
      <c r="M9" s="251" t="s">
        <v>103</v>
      </c>
      <c r="N9" s="251" t="s">
        <v>104</v>
      </c>
      <c r="O9" s="251" t="s">
        <v>105</v>
      </c>
      <c r="P9" s="252" t="s">
        <v>106</v>
      </c>
      <c r="Q9" s="253"/>
      <c r="R9" s="254" t="s">
        <v>99</v>
      </c>
      <c r="S9" s="255" t="s">
        <v>100</v>
      </c>
      <c r="T9" s="253"/>
      <c r="U9" s="253"/>
      <c r="V9" s="253"/>
    </row>
    <row r="10" spans="1:22" ht="22.8">
      <c r="A10" s="256" t="s">
        <v>107</v>
      </c>
      <c r="B10" s="257">
        <v>344</v>
      </c>
      <c r="C10" s="257">
        <v>1858</v>
      </c>
      <c r="D10" s="257">
        <v>63787</v>
      </c>
      <c r="E10" s="258">
        <v>298776</v>
      </c>
      <c r="F10" s="259">
        <f>D10+E10</f>
        <v>362563</v>
      </c>
      <c r="G10" s="260">
        <v>0</v>
      </c>
      <c r="H10" s="261">
        <v>0</v>
      </c>
      <c r="I10" s="262">
        <v>1</v>
      </c>
      <c r="J10" s="262">
        <v>0</v>
      </c>
      <c r="K10" s="262">
        <v>0</v>
      </c>
      <c r="L10" s="263">
        <f>(K10+J10+I10+R10+S10+U10+H10)*1000000/F10</f>
        <v>2.7581413437113</v>
      </c>
      <c r="M10" s="263">
        <f t="shared" ref="M10:M21" si="0">(I10+J10+K10+R10+S10+U10)*1000000/F10</f>
        <v>2.7581413437113</v>
      </c>
      <c r="N10" s="263">
        <f t="shared" ref="N10:N13" si="1">(I10+R10)*1000000/F10</f>
        <v>2.7581413437113</v>
      </c>
      <c r="O10" s="263">
        <f t="shared" ref="O10:O21" si="2">(J10+K10+S10+U10)*1000000/F10</f>
        <v>0</v>
      </c>
      <c r="P10" s="264">
        <f t="shared" ref="P10:P21" si="3">(J10+K10+S10+U10)*1000000/F10</f>
        <v>0</v>
      </c>
      <c r="Q10" s="265">
        <v>0</v>
      </c>
      <c r="R10" s="266">
        <v>0</v>
      </c>
      <c r="S10" s="267">
        <v>0</v>
      </c>
      <c r="T10" s="268">
        <v>0</v>
      </c>
      <c r="U10" s="268">
        <v>0</v>
      </c>
      <c r="V10" s="268">
        <v>0</v>
      </c>
    </row>
    <row r="11" spans="1:22" ht="22.8">
      <c r="A11" s="269" t="s">
        <v>108</v>
      </c>
      <c r="B11" s="270">
        <v>342</v>
      </c>
      <c r="C11" s="270">
        <v>1924</v>
      </c>
      <c r="D11" s="271">
        <v>64779</v>
      </c>
      <c r="E11" s="271">
        <v>277316</v>
      </c>
      <c r="F11" s="272">
        <f t="shared" ref="F11:F21" si="4">D11+E11</f>
        <v>342095</v>
      </c>
      <c r="G11" s="273">
        <v>0</v>
      </c>
      <c r="H11" s="274">
        <v>0</v>
      </c>
      <c r="I11" s="274">
        <v>2</v>
      </c>
      <c r="J11" s="274">
        <v>0</v>
      </c>
      <c r="K11" s="274">
        <v>0</v>
      </c>
      <c r="L11" s="263">
        <f t="shared" ref="L11:L21" si="5">(K11+J11+I11+R11+S11+U11+H11)*1000000/F11</f>
        <v>5.8463292360309271</v>
      </c>
      <c r="M11" s="263">
        <f t="shared" si="0"/>
        <v>5.8463292360309271</v>
      </c>
      <c r="N11" s="263">
        <f t="shared" si="1"/>
        <v>5.8463292360309271</v>
      </c>
      <c r="O11" s="263">
        <f t="shared" si="2"/>
        <v>0</v>
      </c>
      <c r="P11" s="264">
        <f t="shared" si="3"/>
        <v>0</v>
      </c>
      <c r="Q11" s="275">
        <v>0</v>
      </c>
      <c r="R11" s="276">
        <v>0</v>
      </c>
      <c r="S11" s="277">
        <v>0</v>
      </c>
      <c r="T11" s="278">
        <v>0</v>
      </c>
      <c r="U11" s="278">
        <v>0</v>
      </c>
      <c r="V11" s="278">
        <v>0</v>
      </c>
    </row>
    <row r="12" spans="1:22" ht="22.8">
      <c r="A12" s="279" t="s">
        <v>109</v>
      </c>
      <c r="B12" s="270">
        <v>345</v>
      </c>
      <c r="C12" s="270">
        <v>2041</v>
      </c>
      <c r="D12" s="280">
        <v>64498</v>
      </c>
      <c r="E12" s="271">
        <v>312130</v>
      </c>
      <c r="F12" s="272">
        <f t="shared" si="4"/>
        <v>376628</v>
      </c>
      <c r="G12" s="273">
        <v>0</v>
      </c>
      <c r="H12" s="274">
        <v>0</v>
      </c>
      <c r="I12" s="274">
        <v>0</v>
      </c>
      <c r="J12" s="274">
        <v>1</v>
      </c>
      <c r="K12" s="274">
        <v>0</v>
      </c>
      <c r="L12" s="263">
        <f t="shared" si="5"/>
        <v>2.6551398196629035</v>
      </c>
      <c r="M12" s="263">
        <f t="shared" si="0"/>
        <v>2.6551398196629035</v>
      </c>
      <c r="N12" s="263">
        <f t="shared" si="1"/>
        <v>0</v>
      </c>
      <c r="O12" s="263">
        <f t="shared" si="2"/>
        <v>2.6551398196629035</v>
      </c>
      <c r="P12" s="264">
        <f t="shared" si="3"/>
        <v>2.6551398196629035</v>
      </c>
      <c r="Q12" s="275">
        <v>0</v>
      </c>
      <c r="R12" s="276">
        <v>0</v>
      </c>
      <c r="S12" s="277">
        <v>0</v>
      </c>
      <c r="T12" s="278">
        <v>0</v>
      </c>
      <c r="U12" s="278">
        <v>0</v>
      </c>
      <c r="V12" s="278">
        <v>0</v>
      </c>
    </row>
    <row r="13" spans="1:22" ht="22.8">
      <c r="A13" s="269" t="s">
        <v>110</v>
      </c>
      <c r="B13" s="270">
        <v>352</v>
      </c>
      <c r="C13" s="270">
        <v>2194</v>
      </c>
      <c r="D13" s="271">
        <v>66042</v>
      </c>
      <c r="E13" s="271">
        <v>343514</v>
      </c>
      <c r="F13" s="272">
        <f t="shared" si="4"/>
        <v>409556</v>
      </c>
      <c r="G13" s="273">
        <v>0</v>
      </c>
      <c r="H13" s="274">
        <v>0</v>
      </c>
      <c r="I13" s="274">
        <v>1</v>
      </c>
      <c r="J13" s="274">
        <v>1</v>
      </c>
      <c r="K13" s="274">
        <v>0</v>
      </c>
      <c r="L13" s="263">
        <f t="shared" si="5"/>
        <v>4.8833370772250921</v>
      </c>
      <c r="M13" s="263">
        <f t="shared" si="0"/>
        <v>4.8833370772250921</v>
      </c>
      <c r="N13" s="263">
        <f t="shared" si="1"/>
        <v>2.4416685386125461</v>
      </c>
      <c r="O13" s="263">
        <f t="shared" si="2"/>
        <v>2.4416685386125461</v>
      </c>
      <c r="P13" s="264">
        <f t="shared" si="3"/>
        <v>2.4416685386125461</v>
      </c>
      <c r="Q13" s="275">
        <v>1</v>
      </c>
      <c r="R13" s="276">
        <v>0</v>
      </c>
      <c r="S13" s="277">
        <v>0</v>
      </c>
      <c r="T13" s="278">
        <v>0</v>
      </c>
      <c r="U13" s="278">
        <v>0</v>
      </c>
      <c r="V13" s="278">
        <v>0</v>
      </c>
    </row>
    <row r="14" spans="1:22" ht="22.8">
      <c r="A14" s="281" t="s">
        <v>111</v>
      </c>
      <c r="B14" s="270">
        <v>361</v>
      </c>
      <c r="C14" s="270">
        <v>2093</v>
      </c>
      <c r="D14" s="280">
        <v>69262</v>
      </c>
      <c r="E14" s="271">
        <v>243300</v>
      </c>
      <c r="F14" s="272">
        <f>D14+E14</f>
        <v>312562</v>
      </c>
      <c r="G14" s="273">
        <v>0</v>
      </c>
      <c r="H14" s="274">
        <v>2</v>
      </c>
      <c r="I14" s="274">
        <v>0</v>
      </c>
      <c r="J14" s="274">
        <v>0</v>
      </c>
      <c r="K14" s="274">
        <v>0</v>
      </c>
      <c r="L14" s="263">
        <f t="shared" si="5"/>
        <v>6.3987304918704133</v>
      </c>
      <c r="M14" s="263">
        <f t="shared" si="0"/>
        <v>0</v>
      </c>
      <c r="N14" s="263">
        <f>(I14+R14)*1000000/F14</f>
        <v>0</v>
      </c>
      <c r="O14" s="263">
        <f t="shared" si="2"/>
        <v>0</v>
      </c>
      <c r="P14" s="264">
        <f t="shared" si="3"/>
        <v>0</v>
      </c>
      <c r="Q14" s="275">
        <v>0</v>
      </c>
      <c r="R14" s="276">
        <v>0</v>
      </c>
      <c r="S14" s="277">
        <v>0</v>
      </c>
      <c r="T14" s="278">
        <v>0</v>
      </c>
      <c r="U14" s="278">
        <v>0</v>
      </c>
      <c r="V14" s="278">
        <v>0</v>
      </c>
    </row>
    <row r="15" spans="1:22" ht="22.8">
      <c r="A15" s="281" t="s">
        <v>112</v>
      </c>
      <c r="B15" s="282">
        <v>348</v>
      </c>
      <c r="C15" s="282">
        <v>2088</v>
      </c>
      <c r="D15" s="283">
        <v>71195</v>
      </c>
      <c r="E15" s="284">
        <v>335628</v>
      </c>
      <c r="F15" s="285">
        <f t="shared" si="4"/>
        <v>406823</v>
      </c>
      <c r="G15" s="286">
        <v>0</v>
      </c>
      <c r="H15" s="287">
        <v>2</v>
      </c>
      <c r="I15" s="287">
        <v>2</v>
      </c>
      <c r="J15" s="287">
        <v>0</v>
      </c>
      <c r="K15" s="287">
        <v>0</v>
      </c>
      <c r="L15" s="288">
        <f>(K15+J15+I15+R15+S15+U15+H15)*1000000/F15</f>
        <v>9.8322857852186338</v>
      </c>
      <c r="M15" s="288">
        <f t="shared" si="0"/>
        <v>4.9161428926093169</v>
      </c>
      <c r="N15" s="288">
        <f t="shared" ref="N15:N21" si="6">(I15+R15)*1000000/F15</f>
        <v>4.9161428926093169</v>
      </c>
      <c r="O15" s="288">
        <f t="shared" si="2"/>
        <v>0</v>
      </c>
      <c r="P15" s="289">
        <f t="shared" si="3"/>
        <v>0</v>
      </c>
      <c r="Q15" s="290">
        <v>1</v>
      </c>
      <c r="R15" s="291">
        <v>0</v>
      </c>
      <c r="S15" s="292">
        <v>0</v>
      </c>
      <c r="T15" s="293">
        <v>0</v>
      </c>
      <c r="U15" s="293">
        <v>0</v>
      </c>
      <c r="V15" s="293">
        <v>0</v>
      </c>
    </row>
    <row r="16" spans="1:22" ht="22.8">
      <c r="A16" s="279" t="s">
        <v>113</v>
      </c>
      <c r="B16" s="282">
        <v>388</v>
      </c>
      <c r="C16" s="282">
        <v>2084</v>
      </c>
      <c r="D16" s="283">
        <v>71658</v>
      </c>
      <c r="E16" s="283">
        <v>339268</v>
      </c>
      <c r="F16" s="285">
        <f t="shared" si="4"/>
        <v>410926</v>
      </c>
      <c r="G16" s="286">
        <v>0</v>
      </c>
      <c r="H16" s="287">
        <v>3</v>
      </c>
      <c r="I16" s="287">
        <v>1</v>
      </c>
      <c r="J16" s="287">
        <v>0</v>
      </c>
      <c r="K16" s="287">
        <v>0</v>
      </c>
      <c r="L16" s="288">
        <f t="shared" si="5"/>
        <v>9.7341127112910844</v>
      </c>
      <c r="M16" s="288">
        <f t="shared" si="0"/>
        <v>2.4335281778227711</v>
      </c>
      <c r="N16" s="288">
        <f t="shared" si="6"/>
        <v>2.4335281778227711</v>
      </c>
      <c r="O16" s="288">
        <f t="shared" si="2"/>
        <v>0</v>
      </c>
      <c r="P16" s="289">
        <f t="shared" si="3"/>
        <v>0</v>
      </c>
      <c r="Q16" s="290">
        <v>0</v>
      </c>
      <c r="R16" s="291">
        <v>0</v>
      </c>
      <c r="S16" s="292">
        <v>0</v>
      </c>
      <c r="T16" s="293">
        <v>0</v>
      </c>
      <c r="U16" s="293">
        <v>0</v>
      </c>
      <c r="V16" s="293">
        <v>0</v>
      </c>
    </row>
    <row r="17" spans="1:22" ht="22.8">
      <c r="A17" s="269" t="s">
        <v>114</v>
      </c>
      <c r="B17" s="270">
        <v>391</v>
      </c>
      <c r="C17" s="270">
        <v>1981</v>
      </c>
      <c r="D17" s="280">
        <v>72659</v>
      </c>
      <c r="E17" s="271">
        <v>348102</v>
      </c>
      <c r="F17" s="272">
        <f t="shared" si="4"/>
        <v>420761</v>
      </c>
      <c r="G17" s="273">
        <v>0</v>
      </c>
      <c r="H17" s="274">
        <v>1</v>
      </c>
      <c r="I17" s="274">
        <v>0</v>
      </c>
      <c r="J17" s="274">
        <v>0</v>
      </c>
      <c r="K17" s="274">
        <v>0</v>
      </c>
      <c r="L17" s="263">
        <f t="shared" si="5"/>
        <v>2.3766461245219972</v>
      </c>
      <c r="M17" s="263">
        <f t="shared" si="0"/>
        <v>0</v>
      </c>
      <c r="N17" s="263">
        <f t="shared" si="6"/>
        <v>0</v>
      </c>
      <c r="O17" s="263">
        <f t="shared" si="2"/>
        <v>0</v>
      </c>
      <c r="P17" s="264">
        <f t="shared" si="3"/>
        <v>0</v>
      </c>
      <c r="Q17" s="275">
        <v>0</v>
      </c>
      <c r="R17" s="276">
        <v>0</v>
      </c>
      <c r="S17" s="277">
        <v>0</v>
      </c>
      <c r="T17" s="278">
        <v>0</v>
      </c>
      <c r="U17" s="278">
        <v>0</v>
      </c>
      <c r="V17" s="278">
        <v>0</v>
      </c>
    </row>
    <row r="18" spans="1:22" ht="22.8">
      <c r="A18" s="281" t="s">
        <v>115</v>
      </c>
      <c r="B18" s="270">
        <v>465</v>
      </c>
      <c r="C18" s="270">
        <v>2162</v>
      </c>
      <c r="D18" s="280">
        <v>70331.399999999994</v>
      </c>
      <c r="E18" s="280">
        <v>367335.77</v>
      </c>
      <c r="F18" s="272">
        <f t="shared" si="4"/>
        <v>437667.17000000004</v>
      </c>
      <c r="G18" s="273">
        <v>0</v>
      </c>
      <c r="H18" s="274">
        <v>4</v>
      </c>
      <c r="I18" s="274">
        <v>0</v>
      </c>
      <c r="J18" s="274">
        <v>0</v>
      </c>
      <c r="K18" s="274">
        <v>0</v>
      </c>
      <c r="L18" s="263">
        <f t="shared" si="5"/>
        <v>9.139364965391394</v>
      </c>
      <c r="M18" s="263">
        <f t="shared" si="0"/>
        <v>0</v>
      </c>
      <c r="N18" s="263">
        <f t="shared" si="6"/>
        <v>0</v>
      </c>
      <c r="O18" s="263">
        <f t="shared" si="2"/>
        <v>0</v>
      </c>
      <c r="P18" s="264">
        <f t="shared" si="3"/>
        <v>0</v>
      </c>
      <c r="Q18" s="275">
        <v>0</v>
      </c>
      <c r="R18" s="276"/>
      <c r="S18" s="277"/>
      <c r="T18" s="278"/>
      <c r="U18" s="278"/>
      <c r="V18" s="278"/>
    </row>
    <row r="19" spans="1:22" ht="22.8">
      <c r="A19" s="281" t="s">
        <v>116</v>
      </c>
      <c r="B19" s="270">
        <f>2+115+63+4+5+3+239</f>
        <v>431</v>
      </c>
      <c r="C19" s="270">
        <f>238+152+109+36+80+114+241+416+371+8+25+71+7+59+76+29+3+100</f>
        <v>2135</v>
      </c>
      <c r="D19" s="280">
        <f>12692.5+182+144+23414+45711</f>
        <v>82143.5</v>
      </c>
      <c r="E19" s="280">
        <f>516+23373+14016+6504+10896+18732+40368+68532+60972+648+3168+93872+636+10496+12480+4692</f>
        <v>369901</v>
      </c>
      <c r="F19" s="272">
        <f t="shared" si="4"/>
        <v>452044.5</v>
      </c>
      <c r="G19" s="273">
        <v>0</v>
      </c>
      <c r="H19" s="274">
        <v>1</v>
      </c>
      <c r="I19" s="274">
        <v>0</v>
      </c>
      <c r="J19" s="274">
        <v>0</v>
      </c>
      <c r="K19" s="274">
        <v>0</v>
      </c>
      <c r="L19" s="263">
        <f t="shared" si="5"/>
        <v>2.2121715893014957</v>
      </c>
      <c r="M19" s="263">
        <f t="shared" si="0"/>
        <v>0</v>
      </c>
      <c r="N19" s="263">
        <f t="shared" si="6"/>
        <v>0</v>
      </c>
      <c r="O19" s="263">
        <f t="shared" si="2"/>
        <v>0</v>
      </c>
      <c r="P19" s="264">
        <f t="shared" si="3"/>
        <v>0</v>
      </c>
      <c r="Q19" s="275"/>
      <c r="R19" s="276"/>
      <c r="S19" s="277"/>
      <c r="T19" s="278"/>
      <c r="U19" s="278"/>
      <c r="V19" s="278"/>
    </row>
    <row r="20" spans="1:22" ht="22.8">
      <c r="A20" s="279" t="s">
        <v>117</v>
      </c>
      <c r="B20" s="270"/>
      <c r="C20" s="270"/>
      <c r="D20" s="270"/>
      <c r="E20" s="271"/>
      <c r="F20" s="272">
        <f t="shared" si="4"/>
        <v>0</v>
      </c>
      <c r="G20" s="273"/>
      <c r="H20" s="274"/>
      <c r="I20" s="274"/>
      <c r="J20" s="274"/>
      <c r="K20" s="274"/>
      <c r="L20" s="263" t="e">
        <f t="shared" si="5"/>
        <v>#DIV/0!</v>
      </c>
      <c r="M20" s="263" t="e">
        <f t="shared" si="0"/>
        <v>#DIV/0!</v>
      </c>
      <c r="N20" s="263" t="e">
        <f t="shared" si="6"/>
        <v>#DIV/0!</v>
      </c>
      <c r="O20" s="263" t="e">
        <f t="shared" si="2"/>
        <v>#DIV/0!</v>
      </c>
      <c r="P20" s="264" t="e">
        <f t="shared" si="3"/>
        <v>#DIV/0!</v>
      </c>
      <c r="Q20" s="275"/>
      <c r="R20" s="276"/>
      <c r="S20" s="277"/>
      <c r="T20" s="278"/>
      <c r="U20" s="278"/>
      <c r="V20" s="278"/>
    </row>
    <row r="21" spans="1:22" ht="23.4" thickBot="1">
      <c r="A21" s="294" t="s">
        <v>118</v>
      </c>
      <c r="B21" s="295"/>
      <c r="C21" s="295"/>
      <c r="D21" s="295"/>
      <c r="E21" s="296"/>
      <c r="F21" s="297">
        <f t="shared" si="4"/>
        <v>0</v>
      </c>
      <c r="G21" s="298"/>
      <c r="H21" s="270"/>
      <c r="I21" s="270"/>
      <c r="J21" s="270"/>
      <c r="K21" s="270"/>
      <c r="L21" s="263" t="e">
        <f t="shared" si="5"/>
        <v>#DIV/0!</v>
      </c>
      <c r="M21" s="263" t="e">
        <f t="shared" si="0"/>
        <v>#DIV/0!</v>
      </c>
      <c r="N21" s="263" t="e">
        <f t="shared" si="6"/>
        <v>#DIV/0!</v>
      </c>
      <c r="O21" s="263" t="e">
        <f t="shared" si="2"/>
        <v>#DIV/0!</v>
      </c>
      <c r="P21" s="264" t="e">
        <f t="shared" si="3"/>
        <v>#DIV/0!</v>
      </c>
      <c r="Q21" s="275"/>
      <c r="R21" s="276"/>
      <c r="S21" s="277"/>
      <c r="T21" s="278"/>
      <c r="U21" s="278"/>
      <c r="V21" s="278"/>
    </row>
    <row r="22" spans="1:22" ht="23.4" thickBot="1">
      <c r="A22" s="299" t="s">
        <v>119</v>
      </c>
      <c r="B22" s="300">
        <f t="shared" ref="B22:J22" si="7">SUM(B10:B21)</f>
        <v>3767</v>
      </c>
      <c r="C22" s="301">
        <f t="shared" si="7"/>
        <v>20560</v>
      </c>
      <c r="D22" s="302">
        <f>SUM(D10:D21)</f>
        <v>696354.9</v>
      </c>
      <c r="E22" s="300">
        <f>SUM(E10:E21)</f>
        <v>3235270.77</v>
      </c>
      <c r="F22" s="303">
        <f>SUM(F10:F21)</f>
        <v>3931625.67</v>
      </c>
      <c r="G22" s="304">
        <f t="shared" si="7"/>
        <v>0</v>
      </c>
      <c r="H22" s="305">
        <f>SUM(H10:H21)</f>
        <v>13</v>
      </c>
      <c r="I22" s="305">
        <f t="shared" si="7"/>
        <v>7</v>
      </c>
      <c r="J22" s="305">
        <f t="shared" si="7"/>
        <v>2</v>
      </c>
      <c r="K22" s="305">
        <f>SUM(K10:K21)</f>
        <v>0</v>
      </c>
      <c r="L22" s="306">
        <f>(K22+J22+I22+H22+R22+S22+U22)*1000000/F22</f>
        <v>5.5956496997843646</v>
      </c>
      <c r="M22" s="306">
        <f>(I22+J22+K22+R22+S22+U22)*1000000/F22</f>
        <v>2.2891294226390579</v>
      </c>
      <c r="N22" s="306">
        <f>(H22+I22+R22)*1000000/F22</f>
        <v>5.0869542725312407</v>
      </c>
      <c r="O22" s="306">
        <f>J22*1000000/F22</f>
        <v>0.508695427253124</v>
      </c>
      <c r="P22" s="307">
        <f>G22*1000000/F22</f>
        <v>0</v>
      </c>
      <c r="Q22" s="308">
        <f t="shared" ref="Q22:V22" si="8">SUM(Q10:Q21)</f>
        <v>2</v>
      </c>
      <c r="R22" s="304">
        <f t="shared" si="8"/>
        <v>0</v>
      </c>
      <c r="S22" s="309">
        <f t="shared" si="8"/>
        <v>0</v>
      </c>
      <c r="T22" s="310">
        <f t="shared" si="8"/>
        <v>0</v>
      </c>
      <c r="U22" s="310">
        <f t="shared" si="8"/>
        <v>0</v>
      </c>
      <c r="V22" s="310">
        <f t="shared" si="8"/>
        <v>0</v>
      </c>
    </row>
  </sheetData>
  <mergeCells count="22">
    <mergeCell ref="R8:S8"/>
    <mergeCell ref="T8:T9"/>
    <mergeCell ref="U8:U9"/>
    <mergeCell ref="V8:V9"/>
    <mergeCell ref="A6:C6"/>
    <mergeCell ref="A8:A9"/>
    <mergeCell ref="B8:C8"/>
    <mergeCell ref="D8:F8"/>
    <mergeCell ref="G8:P8"/>
    <mergeCell ref="Q8:Q9"/>
    <mergeCell ref="A4:C4"/>
    <mergeCell ref="D4:T4"/>
    <mergeCell ref="U4:V4"/>
    <mergeCell ref="A5:C5"/>
    <mergeCell ref="D5:T5"/>
    <mergeCell ref="U5:V5"/>
    <mergeCell ref="A1:D1"/>
    <mergeCell ref="E1:T1"/>
    <mergeCell ref="U1:V1"/>
    <mergeCell ref="A3:C3"/>
    <mergeCell ref="D3:T3"/>
    <mergeCell ref="U3:V3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Metadata/LabelInfo.xml><?xml version="1.0" encoding="utf-8"?>
<clbl:labelList xmlns:clbl="http://schemas.microsoft.com/office/2020/mipLabelMetadata">
  <clbl:label id="{d5eb2d05-47c5-4b3e-9bd7-b47e03a10069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131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RPBC</vt:lpstr>
      <vt:lpstr>REPLAN</vt:lpstr>
      <vt:lpstr>REPAR</vt:lpstr>
      <vt:lpstr>RNCE</vt:lpstr>
      <vt:lpstr>MACAÉ</vt:lpstr>
      <vt:lpstr>RPBC!Area_de_impressao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Elfe03</dc:creator>
  <cp:lastModifiedBy>GUILHERME DE SA LEITAO BELTRAO</cp:lastModifiedBy>
  <cp:revision>39</cp:revision>
  <cp:lastPrinted>2022-10-05T16:44:33Z</cp:lastPrinted>
  <dcterms:created xsi:type="dcterms:W3CDTF">2020-11-05T15:34:33Z</dcterms:created>
  <dcterms:modified xsi:type="dcterms:W3CDTF">2025-11-27T14:47:10Z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eb2d05-47c5-4b3e-9bd7-b47e03a10069_Enabled">
    <vt:lpwstr>true</vt:lpwstr>
  </property>
  <property fmtid="{D5CDD505-2E9C-101B-9397-08002B2CF9AE}" pid="3" name="MSIP_Label_d5eb2d05-47c5-4b3e-9bd7-b47e03a10069_SetDate">
    <vt:lpwstr>2024-04-06T15:55:13Z</vt:lpwstr>
  </property>
  <property fmtid="{D5CDD505-2E9C-101B-9397-08002B2CF9AE}" pid="4" name="MSIP_Label_d5eb2d05-47c5-4b3e-9bd7-b47e03a10069_Method">
    <vt:lpwstr>Privileged</vt:lpwstr>
  </property>
  <property fmtid="{D5CDD505-2E9C-101B-9397-08002B2CF9AE}" pid="5" name="MSIP_Label_d5eb2d05-47c5-4b3e-9bd7-b47e03a10069_Name">
    <vt:lpwstr>PETROBRAS Colaboradores</vt:lpwstr>
  </property>
  <property fmtid="{D5CDD505-2E9C-101B-9397-08002B2CF9AE}" pid="6" name="MSIP_Label_d5eb2d05-47c5-4b3e-9bd7-b47e03a10069_SiteId">
    <vt:lpwstr>5b6f6241-9a57-4be4-8e50-1dfa72e79a57</vt:lpwstr>
  </property>
  <property fmtid="{D5CDD505-2E9C-101B-9397-08002B2CF9AE}" pid="7" name="MSIP_Label_d5eb2d05-47c5-4b3e-9bd7-b47e03a10069_ActionId">
    <vt:lpwstr>b19e5565-1344-4b9a-b4ec-b65667975543</vt:lpwstr>
  </property>
  <property fmtid="{D5CDD505-2E9C-101B-9397-08002B2CF9AE}" pid="8" name="MSIP_Label_d5eb2d05-47c5-4b3e-9bd7-b47e03a10069_ContentBits">
    <vt:lpwstr>2</vt:lpwstr>
  </property>
</Properties>
</file>