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05 - ARAC - INDICADORES\2- INDICADORES DE DESEMPENHO\2026\SGI\"/>
    </mc:Choice>
  </mc:AlternateContent>
  <xr:revisionPtr revIDLastSave="0" documentId="13_ncr:1_{E6F36956-6AA2-4903-8F7B-E085D6685101}" xr6:coauthVersionLast="47" xr6:coauthVersionMax="47" xr10:uidLastSave="{00000000-0000-0000-0000-000000000000}"/>
  <bookViews>
    <workbookView xWindow="-108" yWindow="-108" windowWidth="23256" windowHeight="12456" tabRatio="811" firstSheet="2" activeTab="2" xr2:uid="{EFD716F7-65B9-4D76-AFCF-CD0D89F4EEEA}"/>
  </bookViews>
  <sheets>
    <sheet name="ACIDENTES C AFASTAMENTO" sheetId="1" r:id="rId1"/>
    <sheet name="ACIDENTES S AFASTAMENTO" sheetId="2" r:id="rId2"/>
    <sheet name="Observatório de Segurança" sheetId="9" r:id="rId3"/>
    <sheet name="AUD COMP" sheetId="3" r:id="rId4"/>
    <sheet name="AÇÕES CORRETIVAS" sheetId="5" r:id="rId5"/>
    <sheet name="PROGRAMAS" sheetId="6" r:id="rId6"/>
    <sheet name="GARANTIA DE QUA DE VIDA" sheetId="4" r:id="rId7"/>
    <sheet name="CONFORMIDADE LEGAL" sheetId="8" r:id="rId8"/>
  </sheets>
  <definedNames>
    <definedName name="_xlnm.Print_Area" localSheetId="0">'ACIDENTES C AFASTAMENTO'!$A$1:$K$30</definedName>
    <definedName name="_xlnm.Print_Area" localSheetId="1">'ACIDENTES S AFASTAMENTO'!$A$1:$J$18</definedName>
    <definedName name="_xlnm.Print_Area" localSheetId="4">'AÇÕES CORRETIVAS'!$A$1:$F$20</definedName>
    <definedName name="_xlnm.Print_Area" localSheetId="3">'AUD COMP'!$A$1:$Q$14</definedName>
    <definedName name="_xlnm.Print_Area" localSheetId="6">'GARANTIA DE QUA DE VIDA'!$A$1:$F$14</definedName>
    <definedName name="_xlnm.Print_Area" localSheetId="5">PROGRAMAS!$A$1:$E$15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9" l="1"/>
  <c r="H10" i="9"/>
  <c r="G10" i="9"/>
  <c r="E10" i="9"/>
  <c r="D10" i="9"/>
  <c r="I9" i="9"/>
  <c r="H9" i="9"/>
  <c r="G9" i="9"/>
  <c r="E9" i="9"/>
  <c r="D9" i="9"/>
  <c r="E11" i="9" l="1"/>
  <c r="E12" i="9"/>
  <c r="E13" i="9"/>
  <c r="E14" i="9"/>
  <c r="E15" i="9"/>
  <c r="E16" i="9"/>
  <c r="E17" i="9"/>
  <c r="E18" i="9"/>
  <c r="E19" i="9"/>
  <c r="E20" i="9"/>
  <c r="G11" i="9"/>
  <c r="G12" i="9"/>
  <c r="G13" i="9"/>
  <c r="G14" i="9"/>
  <c r="G15" i="9"/>
  <c r="G16" i="9"/>
  <c r="G17" i="9"/>
  <c r="G18" i="9"/>
  <c r="G19" i="9"/>
  <c r="G20" i="9"/>
  <c r="H11" i="9" l="1"/>
  <c r="H12" i="9"/>
  <c r="H13" i="9"/>
  <c r="H14" i="9"/>
  <c r="H15" i="9"/>
  <c r="H16" i="9"/>
  <c r="H17" i="9"/>
  <c r="H18" i="9"/>
  <c r="H19" i="9"/>
  <c r="H20" i="9"/>
  <c r="I11" i="9"/>
  <c r="I12" i="9"/>
  <c r="I13" i="9"/>
  <c r="I14" i="9"/>
  <c r="I15" i="9"/>
  <c r="I16" i="9"/>
  <c r="I17" i="9"/>
  <c r="I18" i="9"/>
  <c r="I19" i="9"/>
  <c r="I20" i="9"/>
  <c r="D11" i="9"/>
  <c r="D12" i="9"/>
  <c r="D13" i="9"/>
  <c r="D14" i="9"/>
  <c r="D15" i="9"/>
  <c r="D16" i="9"/>
  <c r="D17" i="9"/>
  <c r="D18" i="9"/>
  <c r="D19" i="9"/>
  <c r="D20" i="9"/>
  <c r="R21" i="9"/>
  <c r="I21" i="9" l="1"/>
  <c r="G21" i="9"/>
  <c r="H21" i="9"/>
  <c r="D21" i="9"/>
  <c r="E21" i="9"/>
</calcChain>
</file>

<file path=xl/sharedStrings.xml><?xml version="1.0" encoding="utf-8"?>
<sst xmlns="http://schemas.openxmlformats.org/spreadsheetml/2006/main" count="92" uniqueCount="70">
  <si>
    <t>UNIDADE</t>
  </si>
  <si>
    <t>DATA</t>
  </si>
  <si>
    <t>MÊS</t>
  </si>
  <si>
    <t>COLABORADOR</t>
  </si>
  <si>
    <t>BASE</t>
  </si>
  <si>
    <t>TIPO</t>
  </si>
  <si>
    <t xml:space="preserve">PARTES DO CORPO </t>
  </si>
  <si>
    <t>LESÃO</t>
  </si>
  <si>
    <t xml:space="preserve">POTENCIALIDADE </t>
  </si>
  <si>
    <t xml:space="preserve">CLASSE </t>
  </si>
  <si>
    <t>DIAS AUSENTE</t>
  </si>
  <si>
    <t>OBSERVATÓRIO DE INDICADORES DE SEGURANÇA</t>
  </si>
  <si>
    <t>TFCA</t>
  </si>
  <si>
    <t>TFSA</t>
  </si>
  <si>
    <t>TAR</t>
  </si>
  <si>
    <t>TOR</t>
  </si>
  <si>
    <t>TG</t>
  </si>
  <si>
    <t>ACIDENTES COM AFASTAMENTO</t>
  </si>
  <si>
    <t>ACIDENTES SEM AFASTAMENTO</t>
  </si>
  <si>
    <t>TOTAL DE ACIDENTES</t>
  </si>
  <si>
    <t>DIAS PERDIDOS</t>
  </si>
  <si>
    <t>DIAS DEBITADOS</t>
  </si>
  <si>
    <t>ACIDENTES COM MORTE</t>
  </si>
  <si>
    <t>NUMERO ACIDENTE ALTO POTENCIAL</t>
  </si>
  <si>
    <t>HORAS HOMEM X HORA EXPOSIÇÃO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</si>
  <si>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</si>
  <si>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</si>
  <si>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</si>
  <si>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</si>
  <si>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</si>
  <si>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</si>
  <si>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</si>
  <si>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</si>
  <si>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</si>
  <si>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</si>
  <si>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</si>
  <si>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</si>
  <si>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MÉDIA</t>
  </si>
  <si>
    <t>TOTAL DE AUDITORIA PREVISTA</t>
  </si>
  <si>
    <t>TOTAL DE AUDITORIA REALIZADA</t>
  </si>
  <si>
    <t>TOTAL COM DESVIOS</t>
  </si>
  <si>
    <t>TOTAL SEM DESVIOS</t>
  </si>
  <si>
    <t>DESVIO: REAÇÃO DAS PESSOAS</t>
  </si>
  <si>
    <t>DESVIO: POSIÇÃO DAS PESSOAS</t>
  </si>
  <si>
    <t>DESVIO: EPI'S</t>
  </si>
  <si>
    <t>DESVIO: FERRAMENTAS E EQUIPAMENTOS</t>
  </si>
  <si>
    <t>DESVIO: PROCEDIMENTOS</t>
  </si>
  <si>
    <t>DESVIO: 5S</t>
  </si>
  <si>
    <t xml:space="preserve">DESVIO: COMPORTAMENTO ÉTICO </t>
  </si>
  <si>
    <t>DESVIO: FATORES DO INDIVIDUO</t>
  </si>
  <si>
    <t>DESVIO: FATORES DO TRABALHO</t>
  </si>
  <si>
    <t>DESVIO: FATORES ORGANIZACIONAIS</t>
  </si>
  <si>
    <t xml:space="preserve">MÊS </t>
  </si>
  <si>
    <t>RNCs ABERTAS</t>
  </si>
  <si>
    <t>RNCS FECHADAS DENTRO DO PRAZO</t>
  </si>
  <si>
    <t>RNCs FECHADAS FORA DO PRAZO</t>
  </si>
  <si>
    <t>RNCs VENCIDAS</t>
  </si>
  <si>
    <t xml:space="preserve">QUANT. PROGRAMAS ATIVOS </t>
  </si>
  <si>
    <t>NOME DE PROGRAMAS ATIVOS</t>
  </si>
  <si>
    <t>CAMPANHAS REALIZADAS</t>
  </si>
  <si>
    <t xml:space="preserve">QUANT EXAMES REALIZADOS </t>
  </si>
  <si>
    <t>QUANT. EXAMES APTOS</t>
  </si>
  <si>
    <t>QUANT. INAPTOS</t>
  </si>
  <si>
    <t>DESCREVER INAPTIDÃO COM CID</t>
  </si>
  <si>
    <t>CONFORMIDADE LEGAL</t>
  </si>
  <si>
    <t>ANÁLISE DE CONFORMIDADE</t>
  </si>
  <si>
    <t>100% DOS REQUISITOS REIAS AVALIADOS</t>
  </si>
  <si>
    <t>AVALIAÇÃO DE CONFORMIDADE LEGAL</t>
  </si>
  <si>
    <t>100% DOS REQUISITOS ATENDIDOS</t>
  </si>
  <si>
    <t>NUMERO DE ACIDENTE PRIMEIROS SOCORROS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</si>
</sst>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11"/>
      <name val="Arial Narrow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445469"/>
      <name val="Arial"/>
      <family val="2"/>
    </font>
    <font>
      <sz val="10"/>
      <name val="Arial"/>
      <family val="2"/>
    </font>
    <font>
      <sz val="1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D423D"/>
        <bgColor indexed="64"/>
      </patternFill>
    </fill>
    <fill>
      <patternFill patternType="solid">
        <fgColor rgb="FFF8CFCE"/>
        <bgColor indexed="64"/>
      </patternFill>
    </fill>
    <fill>
      <patternFill patternType="solid">
        <fgColor rgb="FFFCE9E8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0" xfId="0" applyFill="1"/>
    <xf numFmtId="0" fontId="5" fillId="5" borderId="2" xfId="0" applyFont="1" applyFill="1" applyBorder="1" applyAlignment="1">
      <alignment horizontal="center" vertical="center" wrapText="1" readingOrder="1"/>
    </xf>
    <xf numFmtId="0" fontId="6" fillId="5" borderId="2" xfId="0" applyFont="1" applyFill="1" applyBorder="1" applyAlignment="1">
      <alignment horizontal="center" vertical="center" wrapText="1" readingOrder="1"/>
    </xf>
    <xf numFmtId="0" fontId="7" fillId="6" borderId="3" xfId="0" applyFont="1" applyFill="1" applyBorder="1" applyAlignment="1">
      <alignment horizontal="center" vertical="center" wrapText="1" readingOrder="1"/>
    </xf>
    <xf numFmtId="2" fontId="7" fillId="6" borderId="3" xfId="0" applyNumberFormat="1" applyFont="1" applyFill="1" applyBorder="1" applyAlignment="1">
      <alignment horizontal="center" vertical="center" wrapText="1" readingOrder="1"/>
    </xf>
    <xf numFmtId="0" fontId="7" fillId="7" borderId="4" xfId="0" applyFont="1" applyFill="1" applyBorder="1" applyAlignment="1">
      <alignment horizontal="center" vertical="center" wrapText="1" readingOrder="1"/>
    </xf>
    <xf numFmtId="0" fontId="7" fillId="6" borderId="4" xfId="0" applyFont="1" applyFill="1" applyBorder="1" applyAlignment="1">
      <alignment horizontal="center" vertical="center" wrapText="1" readingOrder="1"/>
    </xf>
    <xf numFmtId="0" fontId="8" fillId="6" borderId="4" xfId="0" applyFont="1" applyFill="1" applyBorder="1" applyAlignment="1">
      <alignment horizontal="center" vertical="top" wrapText="1"/>
    </xf>
    <xf numFmtId="0" fontId="9" fillId="6" borderId="4" xfId="0" applyFont="1" applyFill="1" applyBorder="1" applyAlignment="1">
      <alignment horizontal="center" vertical="top" wrapText="1"/>
    </xf>
    <xf numFmtId="0" fontId="8" fillId="7" borderId="4" xfId="0" applyFont="1" applyFill="1" applyBorder="1" applyAlignment="1">
      <alignment horizontal="center" vertical="top" wrapText="1"/>
    </xf>
    <xf numFmtId="0" fontId="9" fillId="7" borderId="4" xfId="0" applyFont="1" applyFill="1" applyBorder="1" applyAlignment="1">
      <alignment horizontal="center" vertical="top" wrapText="1"/>
    </xf>
    <xf numFmtId="0" fontId="7" fillId="6" borderId="8" xfId="0" applyFont="1" applyFill="1" applyBorder="1" applyAlignment="1">
      <alignment horizontal="center" vertical="center" wrapText="1" readingOrder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8" borderId="3" xfId="0" applyFont="1" applyFill="1" applyBorder="1" applyAlignment="1">
      <alignment horizontal="center" vertical="center" wrapText="1" readingOrder="1"/>
    </xf>
    <xf numFmtId="0" fontId="7" fillId="8" borderId="4" xfId="0" applyFont="1" applyFill="1" applyBorder="1" applyAlignment="1">
      <alignment horizontal="center" vertical="center" wrapText="1" readingOrder="1"/>
    </xf>
    <xf numFmtId="0" fontId="8" fillId="8" borderId="4" xfId="0" applyFont="1" applyFill="1" applyBorder="1" applyAlignment="1">
      <alignment horizontal="center" vertical="top" wrapText="1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  <xf numFmtId="0" fontId="4" fillId="5" borderId="7" xfId="0" applyFont="1" applyFill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56029</xdr:rowOff>
    </xdr:from>
    <xdr:to>
      <xdr:col>2</xdr:col>
      <xdr:colOff>112058</xdr:colOff>
      <xdr:row>4</xdr:row>
      <xdr:rowOff>130885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69DA9861-3E21-44B9-8878-2D2B772AA2DC}"/>
            </a:ext>
          </a:extLst>
        </xdr:cNvPr>
        <xdr:cNvSpPr>
          <a:spLocks noChangeAspect="1" noChangeArrowheads="1"/>
        </xdr:cNvSpPr>
      </xdr:nvSpPr>
      <xdr:spPr bwMode="auto">
        <a:xfrm>
          <a:off x="0" y="56029"/>
          <a:ext cx="1411940" cy="792032"/>
        </a:xfrm>
        <a:prstGeom prst="roundRect">
          <a:avLst>
            <a:gd name="adj" fmla="val 6454"/>
          </a:avLst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173692</xdr:colOff>
      <xdr:row>0</xdr:row>
      <xdr:rowOff>44824</xdr:rowOff>
    </xdr:from>
    <xdr:to>
      <xdr:col>10</xdr:col>
      <xdr:colOff>1001135</xdr:colOff>
      <xdr:row>4</xdr:row>
      <xdr:rowOff>134471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524109BE-D270-4970-85D6-7993B18B5DBE}"/>
            </a:ext>
          </a:extLst>
        </xdr:cNvPr>
        <xdr:cNvSpPr>
          <a:spLocks noChangeArrowheads="1"/>
        </xdr:cNvSpPr>
      </xdr:nvSpPr>
      <xdr:spPr bwMode="auto">
        <a:xfrm>
          <a:off x="1473574" y="44824"/>
          <a:ext cx="8156090" cy="806823"/>
        </a:xfrm>
        <a:prstGeom prst="roundRect">
          <a:avLst>
            <a:gd name="adj" fmla="val 16667"/>
          </a:avLst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108250</xdr:colOff>
      <xdr:row>0</xdr:row>
      <xdr:rowOff>112058</xdr:rowOff>
    </xdr:from>
    <xdr:to>
      <xdr:col>1</xdr:col>
      <xdr:colOff>513342</xdr:colOff>
      <xdr:row>4</xdr:row>
      <xdr:rowOff>91552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14820DF7-C33D-2F2B-6424-9616CC91BA6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08250" y="112058"/>
          <a:ext cx="1111287" cy="692860"/>
        </a:xfrm>
        <a:prstGeom prst="rect">
          <a:avLst/>
        </a:prstGeom>
        <a:ln/>
      </xdr:spPr>
    </xdr:pic>
    <xdr:clientData/>
  </xdr:twoCellAnchor>
  <xdr:twoCellAnchor>
    <xdr:from>
      <xdr:col>3</xdr:col>
      <xdr:colOff>618228</xdr:colOff>
      <xdr:row>0</xdr:row>
      <xdr:rowOff>158787</xdr:rowOff>
    </xdr:from>
    <xdr:to>
      <xdr:col>9</xdr:col>
      <xdr:colOff>597497</xdr:colOff>
      <xdr:row>2</xdr:row>
      <xdr:rowOff>59839</xdr:rowOff>
    </xdr:to>
    <xdr:sp macro="" textlink="">
      <xdr:nvSpPr>
        <xdr:cNvPr id="5" name="Forma Livre: Forma 4">
          <a:extLst>
            <a:ext uri="{FF2B5EF4-FFF2-40B4-BE49-F238E27FC236}">
              <a16:creationId xmlns:a16="http://schemas.microsoft.com/office/drawing/2014/main" id="{BBB5A411-79D1-9587-5D46-0C618C97F0F1}"/>
            </a:ext>
          </a:extLst>
        </xdr:cNvPr>
        <xdr:cNvSpPr/>
      </xdr:nvSpPr>
      <xdr:spPr>
        <a:xfrm>
          <a:off x="2523228" y="158787"/>
          <a:ext cx="6097681" cy="259640"/>
        </a:xfrm>
        <a:custGeom>
          <a:avLst/>
          <a:gdLst/>
          <a:ahLst/>
          <a:cxnLst/>
          <a:rect l="l" t="t" r="r" b="b"/>
          <a:pathLst>
            <a:path w="3410584" h="467994" extrusionOk="0">
              <a:moveTo>
                <a:pt x="0" y="0"/>
              </a:moveTo>
              <a:lnTo>
                <a:pt x="0" y="467994"/>
              </a:lnTo>
              <a:lnTo>
                <a:pt x="3410584" y="467994"/>
              </a:lnTo>
              <a:lnTo>
                <a:pt x="3410584" y="0"/>
              </a:lnTo>
              <a:close/>
            </a:path>
          </a:pathLst>
        </a:custGeom>
        <a:noFill/>
        <a:ln>
          <a:noFill/>
        </a:ln>
      </xdr:spPr>
      <xdr:txBody>
        <a:bodyPr spcFirstLastPara="1" wrap="square" lIns="88900" tIns="38100" rIns="88900" bIns="38100" anchor="t" anchorCtr="0">
          <a:noAutofit/>
        </a:bodyPr>
        <a:lstStyle/>
        <a:p>
          <a:pPr algn="ctr">
            <a:buNone/>
          </a:pPr>
          <a:r>
            <a:rPr lang="pt-BR" sz="1400" b="1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ENGEMAN - MANUTENÇÃO DE EQUIPAMENTOS COM. E IND. LTDA.</a:t>
          </a:r>
          <a:endParaRPr lang="pt-BR" sz="105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1206650</xdr:colOff>
      <xdr:row>2</xdr:row>
      <xdr:rowOff>100854</xdr:rowOff>
    </xdr:from>
    <xdr:to>
      <xdr:col>8</xdr:col>
      <xdr:colOff>870249</xdr:colOff>
      <xdr:row>4</xdr:row>
      <xdr:rowOff>39333</xdr:rowOff>
    </xdr:to>
    <xdr:sp macro="" textlink="">
      <xdr:nvSpPr>
        <xdr:cNvPr id="9" name="Forma Livre: Forma 8">
          <a:extLst>
            <a:ext uri="{FF2B5EF4-FFF2-40B4-BE49-F238E27FC236}">
              <a16:creationId xmlns:a16="http://schemas.microsoft.com/office/drawing/2014/main" id="{5CEAA61C-84C2-BCD8-ECC9-99121B6E7D02}"/>
            </a:ext>
          </a:extLst>
        </xdr:cNvPr>
        <xdr:cNvSpPr/>
      </xdr:nvSpPr>
      <xdr:spPr>
        <a:xfrm>
          <a:off x="3111650" y="459442"/>
          <a:ext cx="4639011" cy="297067"/>
        </a:xfrm>
        <a:custGeom>
          <a:avLst/>
          <a:gdLst/>
          <a:ahLst/>
          <a:cxnLst/>
          <a:rect l="l" t="t" r="r" b="b"/>
          <a:pathLst>
            <a:path w="3410584" h="467994" extrusionOk="0">
              <a:moveTo>
                <a:pt x="0" y="0"/>
              </a:moveTo>
              <a:lnTo>
                <a:pt x="0" y="467994"/>
              </a:lnTo>
              <a:lnTo>
                <a:pt x="3410584" y="467994"/>
              </a:lnTo>
              <a:lnTo>
                <a:pt x="3410584" y="0"/>
              </a:lnTo>
              <a:close/>
            </a:path>
          </a:pathLst>
        </a:custGeom>
        <a:noFill/>
        <a:ln>
          <a:noFill/>
        </a:ln>
      </xdr:spPr>
      <xdr:txBody>
        <a:bodyPr spcFirstLastPara="1" wrap="square" lIns="88900" tIns="38100" rIns="88900" bIns="38100" anchor="t" anchorCtr="0">
          <a:noAutofit/>
        </a:bodyPr>
        <a:lstStyle/>
        <a:p>
          <a:pPr algn="ctr">
            <a:buNone/>
          </a:pPr>
          <a:r>
            <a:rPr lang="pt-BR" sz="1600" b="1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BASE DE DADOS</a:t>
          </a:r>
          <a:r>
            <a:rPr lang="pt-BR" sz="1600" b="1" baseline="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 - INDICADORES</a:t>
          </a:r>
          <a:endParaRPr lang="pt-BR" sz="110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59839</xdr:rowOff>
    </xdr:from>
    <xdr:to>
      <xdr:col>2</xdr:col>
      <xdr:colOff>24848</xdr:colOff>
      <xdr:row>4</xdr:row>
      <xdr:rowOff>76142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CE69AF6-5F36-4D51-B62E-D760C009ED68}"/>
            </a:ext>
          </a:extLst>
        </xdr:cNvPr>
        <xdr:cNvSpPr>
          <a:spLocks noChangeAspect="1" noChangeArrowheads="1"/>
        </xdr:cNvSpPr>
      </xdr:nvSpPr>
      <xdr:spPr bwMode="auto">
        <a:xfrm>
          <a:off x="0" y="59839"/>
          <a:ext cx="1109870" cy="745173"/>
        </a:xfrm>
        <a:prstGeom prst="roundRect">
          <a:avLst>
            <a:gd name="adj" fmla="val 6454"/>
          </a:avLst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38025</xdr:colOff>
      <xdr:row>0</xdr:row>
      <xdr:rowOff>25691</xdr:rowOff>
    </xdr:from>
    <xdr:to>
      <xdr:col>9</xdr:col>
      <xdr:colOff>501430</xdr:colOff>
      <xdr:row>4</xdr:row>
      <xdr:rowOff>80920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7EA252C8-66E8-4838-AF68-2C0A45AB7C4F}"/>
            </a:ext>
          </a:extLst>
        </xdr:cNvPr>
        <xdr:cNvSpPr>
          <a:spLocks noChangeArrowheads="1"/>
        </xdr:cNvSpPr>
      </xdr:nvSpPr>
      <xdr:spPr bwMode="auto">
        <a:xfrm>
          <a:off x="1123047" y="25691"/>
          <a:ext cx="5731144" cy="784099"/>
        </a:xfrm>
        <a:prstGeom prst="roundRect">
          <a:avLst>
            <a:gd name="adj" fmla="val 16667"/>
          </a:avLst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106345</xdr:colOff>
      <xdr:row>0</xdr:row>
      <xdr:rowOff>112058</xdr:rowOff>
    </xdr:from>
    <xdr:to>
      <xdr:col>1</xdr:col>
      <xdr:colOff>323022</xdr:colOff>
      <xdr:row>4</xdr:row>
      <xdr:rowOff>8282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079F9653-BBD5-484C-97E7-588332C20F6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06345" y="112058"/>
          <a:ext cx="854438" cy="625094"/>
        </a:xfrm>
        <a:prstGeom prst="rect">
          <a:avLst/>
        </a:prstGeom>
        <a:ln/>
      </xdr:spPr>
    </xdr:pic>
    <xdr:clientData/>
  </xdr:twoCellAnchor>
  <xdr:twoCellAnchor>
    <xdr:from>
      <xdr:col>2</xdr:col>
      <xdr:colOff>280545</xdr:colOff>
      <xdr:row>0</xdr:row>
      <xdr:rowOff>177257</xdr:rowOff>
    </xdr:from>
    <xdr:to>
      <xdr:col>9</xdr:col>
      <xdr:colOff>251045</xdr:colOff>
      <xdr:row>2</xdr:row>
      <xdr:rowOff>85929</xdr:rowOff>
    </xdr:to>
    <xdr:sp macro="" textlink="">
      <xdr:nvSpPr>
        <xdr:cNvPr id="5" name="Forma Livre: Forma 4">
          <a:extLst>
            <a:ext uri="{FF2B5EF4-FFF2-40B4-BE49-F238E27FC236}">
              <a16:creationId xmlns:a16="http://schemas.microsoft.com/office/drawing/2014/main" id="{03529A93-3505-4C83-A9B9-1907E180850B}"/>
            </a:ext>
          </a:extLst>
        </xdr:cNvPr>
        <xdr:cNvSpPr/>
      </xdr:nvSpPr>
      <xdr:spPr>
        <a:xfrm>
          <a:off x="1365567" y="177257"/>
          <a:ext cx="5238239" cy="273107"/>
        </a:xfrm>
        <a:custGeom>
          <a:avLst/>
          <a:gdLst/>
          <a:ahLst/>
          <a:cxnLst/>
          <a:rect l="l" t="t" r="r" b="b"/>
          <a:pathLst>
            <a:path w="3410584" h="467994" extrusionOk="0">
              <a:moveTo>
                <a:pt x="0" y="0"/>
              </a:moveTo>
              <a:lnTo>
                <a:pt x="0" y="467994"/>
              </a:lnTo>
              <a:lnTo>
                <a:pt x="3410584" y="467994"/>
              </a:lnTo>
              <a:lnTo>
                <a:pt x="3410584" y="0"/>
              </a:lnTo>
              <a:close/>
            </a:path>
          </a:pathLst>
        </a:custGeom>
        <a:noFill/>
        <a:ln>
          <a:noFill/>
        </a:ln>
      </xdr:spPr>
      <xdr:txBody>
        <a:bodyPr spcFirstLastPara="1" wrap="square" lIns="88900" tIns="38100" rIns="88900" bIns="38100" anchor="t" anchorCtr="0">
          <a:noAutofit/>
        </a:bodyPr>
        <a:lstStyle/>
        <a:p>
          <a:pPr algn="ctr">
            <a:buNone/>
          </a:pPr>
          <a:r>
            <a:rPr lang="pt-BR" sz="1200" b="1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ENGEMAN - MANUTENÇÃO DE EQUIPAMENTOS COM. E IND. LTDA.</a:t>
          </a:r>
          <a:endParaRPr lang="pt-BR" sz="100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682942</xdr:colOff>
      <xdr:row>2</xdr:row>
      <xdr:rowOff>89424</xdr:rowOff>
    </xdr:from>
    <xdr:to>
      <xdr:col>8</xdr:col>
      <xdr:colOff>797036</xdr:colOff>
      <xdr:row>4</xdr:row>
      <xdr:rowOff>43143</xdr:rowOff>
    </xdr:to>
    <xdr:sp macro="" textlink="">
      <xdr:nvSpPr>
        <xdr:cNvPr id="9" name="Forma Livre: Forma 8">
          <a:extLst>
            <a:ext uri="{FF2B5EF4-FFF2-40B4-BE49-F238E27FC236}">
              <a16:creationId xmlns:a16="http://schemas.microsoft.com/office/drawing/2014/main" id="{C631912C-DBDB-48AF-8345-F58663A4D3A5}"/>
            </a:ext>
          </a:extLst>
        </xdr:cNvPr>
        <xdr:cNvSpPr/>
      </xdr:nvSpPr>
      <xdr:spPr>
        <a:xfrm>
          <a:off x="2148964" y="453859"/>
          <a:ext cx="3808137" cy="318154"/>
        </a:xfrm>
        <a:custGeom>
          <a:avLst/>
          <a:gdLst/>
          <a:ahLst/>
          <a:cxnLst/>
          <a:rect l="l" t="t" r="r" b="b"/>
          <a:pathLst>
            <a:path w="3410584" h="467994" extrusionOk="0">
              <a:moveTo>
                <a:pt x="0" y="0"/>
              </a:moveTo>
              <a:lnTo>
                <a:pt x="0" y="467994"/>
              </a:lnTo>
              <a:lnTo>
                <a:pt x="3410584" y="467994"/>
              </a:lnTo>
              <a:lnTo>
                <a:pt x="3410584" y="0"/>
              </a:lnTo>
              <a:close/>
            </a:path>
          </a:pathLst>
        </a:custGeom>
        <a:noFill/>
        <a:ln>
          <a:noFill/>
        </a:ln>
      </xdr:spPr>
      <xdr:txBody>
        <a:bodyPr spcFirstLastPara="1" wrap="square" lIns="88900" tIns="38100" rIns="88900" bIns="38100" anchor="t" anchorCtr="0">
          <a:noAutofit/>
        </a:bodyPr>
        <a:lstStyle/>
        <a:p>
          <a:pPr algn="ctr">
            <a:buNone/>
          </a:pPr>
          <a:r>
            <a:rPr lang="pt-BR" sz="1600" b="1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BASE DE DADOS</a:t>
          </a:r>
          <a:r>
            <a:rPr lang="pt-BR" sz="1600" b="1" baseline="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 - INDICADORES</a:t>
          </a:r>
          <a:endParaRPr lang="pt-BR" sz="110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40788</xdr:rowOff>
    </xdr:from>
    <xdr:to>
      <xdr:col>3</xdr:col>
      <xdr:colOff>392430</xdr:colOff>
      <xdr:row>4</xdr:row>
      <xdr:rowOff>156359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70A49DE-ABF1-4DA7-9469-53E970C8737F}"/>
            </a:ext>
          </a:extLst>
        </xdr:cNvPr>
        <xdr:cNvSpPr>
          <a:spLocks noChangeAspect="1" noChangeArrowheads="1"/>
        </xdr:cNvSpPr>
      </xdr:nvSpPr>
      <xdr:spPr bwMode="auto">
        <a:xfrm>
          <a:off x="53340" y="40788"/>
          <a:ext cx="1834515" cy="839471"/>
        </a:xfrm>
        <a:prstGeom prst="roundRect">
          <a:avLst>
            <a:gd name="adj" fmla="val 6454"/>
          </a:avLst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440055</xdr:colOff>
      <xdr:row>0</xdr:row>
      <xdr:rowOff>21963</xdr:rowOff>
    </xdr:from>
    <xdr:to>
      <xdr:col>17</xdr:col>
      <xdr:colOff>1047750</xdr:colOff>
      <xdr:row>4</xdr:row>
      <xdr:rowOff>161925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A42B12D4-2785-4623-9E99-68194A91A3ED}"/>
            </a:ext>
          </a:extLst>
        </xdr:cNvPr>
        <xdr:cNvSpPr>
          <a:spLocks noChangeArrowheads="1"/>
        </xdr:cNvSpPr>
      </xdr:nvSpPr>
      <xdr:spPr bwMode="auto">
        <a:xfrm>
          <a:off x="1935480" y="21963"/>
          <a:ext cx="12428220" cy="863862"/>
        </a:xfrm>
        <a:prstGeom prst="roundRect">
          <a:avLst>
            <a:gd name="adj" fmla="val 16667"/>
          </a:avLst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266365</xdr:colOff>
      <xdr:row>0</xdr:row>
      <xdr:rowOff>58717</xdr:rowOff>
    </xdr:from>
    <xdr:to>
      <xdr:col>3</xdr:col>
      <xdr:colOff>121920</xdr:colOff>
      <xdr:row>4</xdr:row>
      <xdr:rowOff>140969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EB23787F-BC7B-4296-95A8-B370AE03FBD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66365" y="58717"/>
          <a:ext cx="1350980" cy="806152"/>
        </a:xfrm>
        <a:prstGeom prst="rect">
          <a:avLst/>
        </a:prstGeom>
        <a:ln/>
      </xdr:spPr>
    </xdr:pic>
    <xdr:clientData/>
  </xdr:twoCellAnchor>
  <xdr:twoCellAnchor>
    <xdr:from>
      <xdr:col>7</xdr:col>
      <xdr:colOff>460112</xdr:colOff>
      <xdr:row>0</xdr:row>
      <xdr:rowOff>179742</xdr:rowOff>
    </xdr:from>
    <xdr:to>
      <xdr:col>16</xdr:col>
      <xdr:colOff>45719</xdr:colOff>
      <xdr:row>2</xdr:row>
      <xdr:rowOff>76984</xdr:rowOff>
    </xdr:to>
    <xdr:sp macro="" textlink="">
      <xdr:nvSpPr>
        <xdr:cNvPr id="5" name="Forma Livre: Forma 4">
          <a:extLst>
            <a:ext uri="{FF2B5EF4-FFF2-40B4-BE49-F238E27FC236}">
              <a16:creationId xmlns:a16="http://schemas.microsoft.com/office/drawing/2014/main" id="{12E1A10D-18D6-4507-9C0C-CCA35467F959}"/>
            </a:ext>
          </a:extLst>
        </xdr:cNvPr>
        <xdr:cNvSpPr/>
      </xdr:nvSpPr>
      <xdr:spPr>
        <a:xfrm>
          <a:off x="4184387" y="179742"/>
          <a:ext cx="8015232" cy="259192"/>
        </a:xfrm>
        <a:custGeom>
          <a:avLst/>
          <a:gdLst/>
          <a:ahLst/>
          <a:cxnLst/>
          <a:rect l="l" t="t" r="r" b="b"/>
          <a:pathLst>
            <a:path w="3410584" h="467994" extrusionOk="0">
              <a:moveTo>
                <a:pt x="0" y="0"/>
              </a:moveTo>
              <a:lnTo>
                <a:pt x="0" y="467994"/>
              </a:lnTo>
              <a:lnTo>
                <a:pt x="3410584" y="467994"/>
              </a:lnTo>
              <a:lnTo>
                <a:pt x="3410584" y="0"/>
              </a:lnTo>
              <a:close/>
            </a:path>
          </a:pathLst>
        </a:custGeom>
        <a:noFill/>
        <a:ln>
          <a:noFill/>
        </a:ln>
      </xdr:spPr>
      <xdr:txBody>
        <a:bodyPr spcFirstLastPara="1" wrap="square" lIns="88900" tIns="38100" rIns="88900" bIns="38100" anchor="t" anchorCtr="0">
          <a:noAutofit/>
        </a:bodyPr>
        <a:lstStyle/>
        <a:p>
          <a:pPr algn="ctr">
            <a:buNone/>
          </a:pPr>
          <a:r>
            <a:rPr lang="pt-BR" sz="1800" b="1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ENGEMAN - MANUTENÇÃO DE EQUIPAMENTOS COM. E IND. LTDA.</a:t>
          </a:r>
          <a:endParaRPr lang="pt-BR" sz="120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466725</xdr:colOff>
      <xdr:row>2</xdr:row>
      <xdr:rowOff>116094</xdr:rowOff>
    </xdr:from>
    <xdr:to>
      <xdr:col>14</xdr:col>
      <xdr:colOff>651174</xdr:colOff>
      <xdr:row>4</xdr:row>
      <xdr:rowOff>48858</xdr:rowOff>
    </xdr:to>
    <xdr:sp macro="" textlink="">
      <xdr:nvSpPr>
        <xdr:cNvPr id="6" name="Forma Livre: Forma 5">
          <a:extLst>
            <a:ext uri="{FF2B5EF4-FFF2-40B4-BE49-F238E27FC236}">
              <a16:creationId xmlns:a16="http://schemas.microsoft.com/office/drawing/2014/main" id="{3A493F35-994B-4D9D-AFFC-B0674B301ACF}"/>
            </a:ext>
          </a:extLst>
        </xdr:cNvPr>
        <xdr:cNvSpPr/>
      </xdr:nvSpPr>
      <xdr:spPr>
        <a:xfrm>
          <a:off x="4933950" y="478044"/>
          <a:ext cx="5823249" cy="294714"/>
        </a:xfrm>
        <a:custGeom>
          <a:avLst/>
          <a:gdLst/>
          <a:ahLst/>
          <a:cxnLst/>
          <a:rect l="l" t="t" r="r" b="b"/>
          <a:pathLst>
            <a:path w="3410584" h="467994" extrusionOk="0">
              <a:moveTo>
                <a:pt x="0" y="0"/>
              </a:moveTo>
              <a:lnTo>
                <a:pt x="0" y="467994"/>
              </a:lnTo>
              <a:lnTo>
                <a:pt x="3410584" y="467994"/>
              </a:lnTo>
              <a:lnTo>
                <a:pt x="3410584" y="0"/>
              </a:lnTo>
              <a:close/>
            </a:path>
          </a:pathLst>
        </a:custGeom>
        <a:noFill/>
        <a:ln>
          <a:noFill/>
        </a:ln>
      </xdr:spPr>
      <xdr:txBody>
        <a:bodyPr spcFirstLastPara="1" wrap="square" lIns="88900" tIns="38100" rIns="88900" bIns="38100" anchor="t" anchorCtr="0">
          <a:noAutofit/>
        </a:bodyPr>
        <a:lstStyle/>
        <a:p>
          <a:pPr algn="ctr">
            <a:buNone/>
          </a:pPr>
          <a:r>
            <a:rPr lang="pt-BR" sz="1800" b="1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BASE DE DADOS</a:t>
          </a:r>
          <a:r>
            <a:rPr lang="pt-BR" sz="1800" b="1" baseline="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 - INDICADORES</a:t>
          </a:r>
          <a:endParaRPr lang="pt-BR" sz="120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952500</xdr:colOff>
      <xdr:row>0</xdr:row>
      <xdr:rowOff>40788</xdr:rowOff>
    </xdr:from>
    <xdr:to>
      <xdr:col>3</xdr:col>
      <xdr:colOff>396240</xdr:colOff>
      <xdr:row>4</xdr:row>
      <xdr:rowOff>158264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50C31E4-59AE-4208-8CCA-9BFF42090EC2}"/>
            </a:ext>
          </a:extLst>
        </xdr:cNvPr>
        <xdr:cNvSpPr>
          <a:spLocks noChangeAspect="1" noChangeArrowheads="1"/>
        </xdr:cNvSpPr>
      </xdr:nvSpPr>
      <xdr:spPr bwMode="auto">
        <a:xfrm>
          <a:off x="2112818" y="40788"/>
          <a:ext cx="2595649" cy="810203"/>
        </a:xfrm>
        <a:prstGeom prst="roundRect">
          <a:avLst>
            <a:gd name="adj" fmla="val 6454"/>
          </a:avLst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426945</xdr:colOff>
      <xdr:row>0</xdr:row>
      <xdr:rowOff>0</xdr:rowOff>
    </xdr:from>
    <xdr:to>
      <xdr:col>16</xdr:col>
      <xdr:colOff>502229</xdr:colOff>
      <xdr:row>4</xdr:row>
      <xdr:rowOff>143772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54563002-7BA6-45D6-AC4B-EE953255D456}"/>
            </a:ext>
          </a:extLst>
        </xdr:cNvPr>
        <xdr:cNvSpPr>
          <a:spLocks noChangeArrowheads="1"/>
        </xdr:cNvSpPr>
      </xdr:nvSpPr>
      <xdr:spPr bwMode="auto">
        <a:xfrm>
          <a:off x="4739172" y="0"/>
          <a:ext cx="22190602" cy="836499"/>
        </a:xfrm>
        <a:prstGeom prst="roundRect">
          <a:avLst>
            <a:gd name="adj" fmla="val 16667"/>
          </a:avLst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325377</xdr:colOff>
      <xdr:row>0</xdr:row>
      <xdr:rowOff>77738</xdr:rowOff>
    </xdr:from>
    <xdr:to>
      <xdr:col>14</xdr:col>
      <xdr:colOff>967392</xdr:colOff>
      <xdr:row>1</xdr:row>
      <xdr:rowOff>150067</xdr:rowOff>
    </xdr:to>
    <xdr:sp macro="" textlink="">
      <xdr:nvSpPr>
        <xdr:cNvPr id="5" name="Forma Livre: Forma 4">
          <a:extLst>
            <a:ext uri="{FF2B5EF4-FFF2-40B4-BE49-F238E27FC236}">
              <a16:creationId xmlns:a16="http://schemas.microsoft.com/office/drawing/2014/main" id="{1925720A-C13D-48F6-978A-65356BFC8329}"/>
            </a:ext>
          </a:extLst>
        </xdr:cNvPr>
        <xdr:cNvSpPr/>
      </xdr:nvSpPr>
      <xdr:spPr>
        <a:xfrm>
          <a:off x="7876104" y="77738"/>
          <a:ext cx="15345152" cy="245511"/>
        </a:xfrm>
        <a:custGeom>
          <a:avLst/>
          <a:gdLst/>
          <a:ahLst/>
          <a:cxnLst/>
          <a:rect l="l" t="t" r="r" b="b"/>
          <a:pathLst>
            <a:path w="3410584" h="467994" extrusionOk="0">
              <a:moveTo>
                <a:pt x="0" y="0"/>
              </a:moveTo>
              <a:lnTo>
                <a:pt x="0" y="467994"/>
              </a:lnTo>
              <a:lnTo>
                <a:pt x="3410584" y="467994"/>
              </a:lnTo>
              <a:lnTo>
                <a:pt x="3410584" y="0"/>
              </a:lnTo>
              <a:close/>
            </a:path>
          </a:pathLst>
        </a:custGeom>
        <a:noFill/>
        <a:ln>
          <a:noFill/>
        </a:ln>
      </xdr:spPr>
      <xdr:txBody>
        <a:bodyPr spcFirstLastPara="1" wrap="square" lIns="88900" tIns="38100" rIns="88900" bIns="38100" anchor="t" anchorCtr="0">
          <a:noAutofit/>
        </a:bodyPr>
        <a:lstStyle/>
        <a:p>
          <a:pPr algn="ctr">
            <a:buNone/>
          </a:pPr>
          <a:r>
            <a:rPr lang="pt-BR" sz="1800" b="1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ENGEMAN - MANUTENÇÃO DE EQUIPAMENTOS COM. E IND. LTDA.</a:t>
          </a:r>
          <a:endParaRPr lang="pt-BR" sz="120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1576994</xdr:colOff>
      <xdr:row>2</xdr:row>
      <xdr:rowOff>150731</xdr:rowOff>
    </xdr:from>
    <xdr:to>
      <xdr:col>12</xdr:col>
      <xdr:colOff>1984675</xdr:colOff>
      <xdr:row>4</xdr:row>
      <xdr:rowOff>85400</xdr:rowOff>
    </xdr:to>
    <xdr:sp macro="" textlink="">
      <xdr:nvSpPr>
        <xdr:cNvPr id="6" name="Forma Livre: Forma 5">
          <a:extLst>
            <a:ext uri="{FF2B5EF4-FFF2-40B4-BE49-F238E27FC236}">
              <a16:creationId xmlns:a16="http://schemas.microsoft.com/office/drawing/2014/main" id="{FECEFAF7-6C00-47A6-B7C6-CA0B94AC1A0C}"/>
            </a:ext>
          </a:extLst>
        </xdr:cNvPr>
        <xdr:cNvSpPr/>
      </xdr:nvSpPr>
      <xdr:spPr>
        <a:xfrm>
          <a:off x="10374630" y="497095"/>
          <a:ext cx="9846090" cy="281032"/>
        </a:xfrm>
        <a:custGeom>
          <a:avLst/>
          <a:gdLst/>
          <a:ahLst/>
          <a:cxnLst/>
          <a:rect l="l" t="t" r="r" b="b"/>
          <a:pathLst>
            <a:path w="3410584" h="467994" extrusionOk="0">
              <a:moveTo>
                <a:pt x="0" y="0"/>
              </a:moveTo>
              <a:lnTo>
                <a:pt x="0" y="467994"/>
              </a:lnTo>
              <a:lnTo>
                <a:pt x="3410584" y="467994"/>
              </a:lnTo>
              <a:lnTo>
                <a:pt x="3410584" y="0"/>
              </a:lnTo>
              <a:close/>
            </a:path>
          </a:pathLst>
        </a:custGeom>
        <a:noFill/>
        <a:ln>
          <a:noFill/>
        </a:ln>
      </xdr:spPr>
      <xdr:txBody>
        <a:bodyPr spcFirstLastPara="1" wrap="square" lIns="88900" tIns="38100" rIns="88900" bIns="38100" anchor="t" anchorCtr="0">
          <a:noAutofit/>
        </a:bodyPr>
        <a:lstStyle/>
        <a:p>
          <a:pPr algn="ctr">
            <a:buNone/>
          </a:pPr>
          <a:r>
            <a:rPr lang="pt-BR" sz="1800" b="1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BASE DE DADOS</a:t>
          </a:r>
          <a:r>
            <a:rPr lang="pt-BR" sz="1800" b="1" baseline="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 - INDICADORES</a:t>
          </a:r>
          <a:endParaRPr lang="pt-BR" sz="120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422014</xdr:colOff>
      <xdr:row>0</xdr:row>
      <xdr:rowOff>123264</xdr:rowOff>
    </xdr:from>
    <xdr:to>
      <xdr:col>2</xdr:col>
      <xdr:colOff>1738817</xdr:colOff>
      <xdr:row>4</xdr:row>
      <xdr:rowOff>85837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F5CA49DE-13C9-4688-9D88-79E803339D8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853690" y="123264"/>
          <a:ext cx="1316803" cy="679749"/>
        </a:xfrm>
        <a:prstGeom prst="rect">
          <a:avLst/>
        </a:prstGeom>
        <a:ln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56029</xdr:rowOff>
    </xdr:from>
    <xdr:to>
      <xdr:col>1</xdr:col>
      <xdr:colOff>563218</xdr:colOff>
      <xdr:row>3</xdr:row>
      <xdr:rowOff>169462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707D106-E689-4DF6-8DCD-C604ACC8E859}"/>
            </a:ext>
          </a:extLst>
        </xdr:cNvPr>
        <xdr:cNvSpPr>
          <a:spLocks noChangeAspect="1" noChangeArrowheads="1"/>
        </xdr:cNvSpPr>
      </xdr:nvSpPr>
      <xdr:spPr bwMode="auto">
        <a:xfrm>
          <a:off x="1" y="56029"/>
          <a:ext cx="1151282" cy="660085"/>
        </a:xfrm>
        <a:prstGeom prst="roundRect">
          <a:avLst>
            <a:gd name="adj" fmla="val 6454"/>
          </a:avLst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629901</xdr:colOff>
      <xdr:row>0</xdr:row>
      <xdr:rowOff>54349</xdr:rowOff>
    </xdr:from>
    <xdr:to>
      <xdr:col>5</xdr:col>
      <xdr:colOff>944218</xdr:colOff>
      <xdr:row>4</xdr:row>
      <xdr:rowOff>12092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D045DADB-D8FE-46BF-A1ED-A9E748CF22F0}"/>
            </a:ext>
          </a:extLst>
        </xdr:cNvPr>
        <xdr:cNvSpPr>
          <a:spLocks noChangeArrowheads="1"/>
        </xdr:cNvSpPr>
      </xdr:nvSpPr>
      <xdr:spPr bwMode="auto">
        <a:xfrm>
          <a:off x="1217966" y="54349"/>
          <a:ext cx="7147469" cy="686613"/>
        </a:xfrm>
        <a:prstGeom prst="roundRect">
          <a:avLst>
            <a:gd name="adj" fmla="val 16667"/>
          </a:avLst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104440</xdr:colOff>
      <xdr:row>0</xdr:row>
      <xdr:rowOff>78928</xdr:rowOff>
    </xdr:from>
    <xdr:to>
      <xdr:col>1</xdr:col>
      <xdr:colOff>364932</xdr:colOff>
      <xdr:row>3</xdr:row>
      <xdr:rowOff>168800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44C61838-8DF5-4984-975A-413A8989A43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04440" y="78928"/>
          <a:ext cx="856177" cy="628904"/>
        </a:xfrm>
        <a:prstGeom prst="rect">
          <a:avLst/>
        </a:prstGeom>
        <a:ln/>
      </xdr:spPr>
    </xdr:pic>
    <xdr:clientData/>
  </xdr:twoCellAnchor>
  <xdr:twoCellAnchor>
    <xdr:from>
      <xdr:col>2</xdr:col>
      <xdr:colOff>163927</xdr:colOff>
      <xdr:row>0</xdr:row>
      <xdr:rowOff>153072</xdr:rowOff>
    </xdr:from>
    <xdr:to>
      <xdr:col>5</xdr:col>
      <xdr:colOff>753719</xdr:colOff>
      <xdr:row>2</xdr:row>
      <xdr:rowOff>75079</xdr:rowOff>
    </xdr:to>
    <xdr:sp macro="" textlink="">
      <xdr:nvSpPr>
        <xdr:cNvPr id="5" name="Forma Livre: Forma 4">
          <a:extLst>
            <a:ext uri="{FF2B5EF4-FFF2-40B4-BE49-F238E27FC236}">
              <a16:creationId xmlns:a16="http://schemas.microsoft.com/office/drawing/2014/main" id="{4D5B3504-AFC8-4161-A3A4-23E779503EB3}"/>
            </a:ext>
          </a:extLst>
        </xdr:cNvPr>
        <xdr:cNvSpPr/>
      </xdr:nvSpPr>
      <xdr:spPr>
        <a:xfrm>
          <a:off x="2077210" y="153072"/>
          <a:ext cx="6097726" cy="286442"/>
        </a:xfrm>
        <a:custGeom>
          <a:avLst/>
          <a:gdLst/>
          <a:ahLst/>
          <a:cxnLst/>
          <a:rect l="l" t="t" r="r" b="b"/>
          <a:pathLst>
            <a:path w="3410584" h="467994" extrusionOk="0">
              <a:moveTo>
                <a:pt x="0" y="0"/>
              </a:moveTo>
              <a:lnTo>
                <a:pt x="0" y="467994"/>
              </a:lnTo>
              <a:lnTo>
                <a:pt x="3410584" y="467994"/>
              </a:lnTo>
              <a:lnTo>
                <a:pt x="3410584" y="0"/>
              </a:lnTo>
              <a:close/>
            </a:path>
          </a:pathLst>
        </a:custGeom>
        <a:noFill/>
        <a:ln>
          <a:noFill/>
        </a:ln>
      </xdr:spPr>
      <xdr:txBody>
        <a:bodyPr spcFirstLastPara="1" wrap="square" lIns="88900" tIns="38100" rIns="88900" bIns="38100" anchor="t" anchorCtr="0">
          <a:noAutofit/>
        </a:bodyPr>
        <a:lstStyle/>
        <a:p>
          <a:pPr algn="ctr">
            <a:buNone/>
          </a:pPr>
          <a:r>
            <a:rPr lang="pt-BR" sz="1200" b="1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ENGEMAN - MANUTENÇÃO DE EQUIPAMENTOS COM. E IND. LTDA.</a:t>
          </a:r>
          <a:endParaRPr lang="pt-BR" sz="100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161137</xdr:colOff>
      <xdr:row>2</xdr:row>
      <xdr:rowOff>51821</xdr:rowOff>
    </xdr:from>
    <xdr:to>
      <xdr:col>5</xdr:col>
      <xdr:colOff>962688</xdr:colOff>
      <xdr:row>4</xdr:row>
      <xdr:rowOff>3635</xdr:rowOff>
    </xdr:to>
    <xdr:sp macro="" textlink="">
      <xdr:nvSpPr>
        <xdr:cNvPr id="6" name="Forma Livre: Forma 5">
          <a:extLst>
            <a:ext uri="{FF2B5EF4-FFF2-40B4-BE49-F238E27FC236}">
              <a16:creationId xmlns:a16="http://schemas.microsoft.com/office/drawing/2014/main" id="{B91BFD26-366A-4256-B66F-5EBE0677AD94}"/>
            </a:ext>
          </a:extLst>
        </xdr:cNvPr>
        <xdr:cNvSpPr/>
      </xdr:nvSpPr>
      <xdr:spPr>
        <a:xfrm>
          <a:off x="2074420" y="416256"/>
          <a:ext cx="6309485" cy="316249"/>
        </a:xfrm>
        <a:custGeom>
          <a:avLst/>
          <a:gdLst/>
          <a:ahLst/>
          <a:cxnLst/>
          <a:rect l="l" t="t" r="r" b="b"/>
          <a:pathLst>
            <a:path w="3410584" h="467994" extrusionOk="0">
              <a:moveTo>
                <a:pt x="0" y="0"/>
              </a:moveTo>
              <a:lnTo>
                <a:pt x="0" y="467994"/>
              </a:lnTo>
              <a:lnTo>
                <a:pt x="3410584" y="467994"/>
              </a:lnTo>
              <a:lnTo>
                <a:pt x="3410584" y="0"/>
              </a:lnTo>
              <a:close/>
            </a:path>
          </a:pathLst>
        </a:custGeom>
        <a:noFill/>
        <a:ln>
          <a:noFill/>
        </a:ln>
      </xdr:spPr>
      <xdr:txBody>
        <a:bodyPr spcFirstLastPara="1" wrap="square" lIns="88900" tIns="38100" rIns="88900" bIns="38100" anchor="t" anchorCtr="0">
          <a:noAutofit/>
        </a:bodyPr>
        <a:lstStyle/>
        <a:p>
          <a:pPr algn="ctr">
            <a:buNone/>
          </a:pPr>
          <a:r>
            <a:rPr lang="pt-BR" sz="1600" b="1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BASE DE DADOS</a:t>
          </a:r>
          <a:r>
            <a:rPr lang="pt-BR" sz="1600" b="1" baseline="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 - INDICADORES</a:t>
          </a:r>
          <a:endParaRPr lang="pt-BR" sz="110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56029</xdr:rowOff>
    </xdr:from>
    <xdr:to>
      <xdr:col>1</xdr:col>
      <xdr:colOff>563218</xdr:colOff>
      <xdr:row>3</xdr:row>
      <xdr:rowOff>169462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667A365-2959-464E-8C85-2A30BE0C0386}"/>
            </a:ext>
          </a:extLst>
        </xdr:cNvPr>
        <xdr:cNvSpPr>
          <a:spLocks noChangeAspect="1" noChangeArrowheads="1"/>
        </xdr:cNvSpPr>
      </xdr:nvSpPr>
      <xdr:spPr bwMode="auto">
        <a:xfrm>
          <a:off x="1" y="59839"/>
          <a:ext cx="1151862" cy="656358"/>
        </a:xfrm>
        <a:prstGeom prst="roundRect">
          <a:avLst>
            <a:gd name="adj" fmla="val 6454"/>
          </a:avLst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626091</xdr:colOff>
      <xdr:row>0</xdr:row>
      <xdr:rowOff>58159</xdr:rowOff>
    </xdr:from>
    <xdr:to>
      <xdr:col>4</xdr:col>
      <xdr:colOff>1562100</xdr:colOff>
      <xdr:row>4</xdr:row>
      <xdr:rowOff>15902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CD2442D9-10F5-490F-82D6-5A82CAF531F9}"/>
            </a:ext>
          </a:extLst>
        </xdr:cNvPr>
        <xdr:cNvSpPr>
          <a:spLocks noChangeArrowheads="1"/>
        </xdr:cNvSpPr>
      </xdr:nvSpPr>
      <xdr:spPr bwMode="auto">
        <a:xfrm>
          <a:off x="1216641" y="58159"/>
          <a:ext cx="5422284" cy="681643"/>
        </a:xfrm>
        <a:prstGeom prst="roundRect">
          <a:avLst>
            <a:gd name="adj" fmla="val 16667"/>
          </a:avLst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159685</xdr:colOff>
      <xdr:row>0</xdr:row>
      <xdr:rowOff>136079</xdr:rowOff>
    </xdr:from>
    <xdr:to>
      <xdr:col>1</xdr:col>
      <xdr:colOff>363855</xdr:colOff>
      <xdr:row>3</xdr:row>
      <xdr:rowOff>100966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483DA991-E583-4C99-A88B-4D8F36525CA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59685" y="136079"/>
          <a:ext cx="798530" cy="509717"/>
        </a:xfrm>
        <a:prstGeom prst="rect">
          <a:avLst/>
        </a:prstGeom>
        <a:ln/>
      </xdr:spPr>
    </xdr:pic>
    <xdr:clientData/>
  </xdr:twoCellAnchor>
  <xdr:twoCellAnchor>
    <xdr:from>
      <xdr:col>1</xdr:col>
      <xdr:colOff>405862</xdr:colOff>
      <xdr:row>0</xdr:row>
      <xdr:rowOff>143547</xdr:rowOff>
    </xdr:from>
    <xdr:to>
      <xdr:col>5</xdr:col>
      <xdr:colOff>37439</xdr:colOff>
      <xdr:row>2</xdr:row>
      <xdr:rowOff>65554</xdr:rowOff>
    </xdr:to>
    <xdr:sp macro="" textlink="">
      <xdr:nvSpPr>
        <xdr:cNvPr id="5" name="Forma Livre: Forma 4">
          <a:extLst>
            <a:ext uri="{FF2B5EF4-FFF2-40B4-BE49-F238E27FC236}">
              <a16:creationId xmlns:a16="http://schemas.microsoft.com/office/drawing/2014/main" id="{CEFBD2EC-B35D-4BAD-B180-4D041BE1C3E8}"/>
            </a:ext>
          </a:extLst>
        </xdr:cNvPr>
        <xdr:cNvSpPr/>
      </xdr:nvSpPr>
      <xdr:spPr>
        <a:xfrm>
          <a:off x="996412" y="143547"/>
          <a:ext cx="5975227" cy="283957"/>
        </a:xfrm>
        <a:custGeom>
          <a:avLst/>
          <a:gdLst/>
          <a:ahLst/>
          <a:cxnLst/>
          <a:rect l="l" t="t" r="r" b="b"/>
          <a:pathLst>
            <a:path w="3410584" h="467994" extrusionOk="0">
              <a:moveTo>
                <a:pt x="0" y="0"/>
              </a:moveTo>
              <a:lnTo>
                <a:pt x="0" y="467994"/>
              </a:lnTo>
              <a:lnTo>
                <a:pt x="3410584" y="467994"/>
              </a:lnTo>
              <a:lnTo>
                <a:pt x="3410584" y="0"/>
              </a:lnTo>
              <a:close/>
            </a:path>
          </a:pathLst>
        </a:custGeom>
        <a:noFill/>
        <a:ln>
          <a:noFill/>
        </a:ln>
      </xdr:spPr>
      <xdr:txBody>
        <a:bodyPr spcFirstLastPara="1" wrap="square" lIns="88900" tIns="38100" rIns="88900" bIns="38100" anchor="t" anchorCtr="0">
          <a:noAutofit/>
        </a:bodyPr>
        <a:lstStyle/>
        <a:p>
          <a:pPr algn="ctr">
            <a:buNone/>
          </a:pPr>
          <a:r>
            <a:rPr lang="pt-BR" sz="1200" b="1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ENGEMAN - MANUTENÇÃO DE EQUIPAMENTOS COM. E IND. LTDA.</a:t>
          </a:r>
          <a:endParaRPr lang="pt-BR" sz="100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163042</xdr:colOff>
      <xdr:row>2</xdr:row>
      <xdr:rowOff>55631</xdr:rowOff>
    </xdr:from>
    <xdr:to>
      <xdr:col>4</xdr:col>
      <xdr:colOff>1162050</xdr:colOff>
      <xdr:row>4</xdr:row>
      <xdr:rowOff>3635</xdr:rowOff>
    </xdr:to>
    <xdr:sp macro="" textlink="">
      <xdr:nvSpPr>
        <xdr:cNvPr id="6" name="Forma Livre: Forma 5">
          <a:extLst>
            <a:ext uri="{FF2B5EF4-FFF2-40B4-BE49-F238E27FC236}">
              <a16:creationId xmlns:a16="http://schemas.microsoft.com/office/drawing/2014/main" id="{1FCFCC73-2155-4F47-9A55-6AAA080AA943}"/>
            </a:ext>
          </a:extLst>
        </xdr:cNvPr>
        <xdr:cNvSpPr/>
      </xdr:nvSpPr>
      <xdr:spPr>
        <a:xfrm>
          <a:off x="1572742" y="417581"/>
          <a:ext cx="4666133" cy="309954"/>
        </a:xfrm>
        <a:custGeom>
          <a:avLst/>
          <a:gdLst/>
          <a:ahLst/>
          <a:cxnLst/>
          <a:rect l="l" t="t" r="r" b="b"/>
          <a:pathLst>
            <a:path w="3410584" h="467994" extrusionOk="0">
              <a:moveTo>
                <a:pt x="0" y="0"/>
              </a:moveTo>
              <a:lnTo>
                <a:pt x="0" y="467994"/>
              </a:lnTo>
              <a:lnTo>
                <a:pt x="3410584" y="467994"/>
              </a:lnTo>
              <a:lnTo>
                <a:pt x="3410584" y="0"/>
              </a:lnTo>
              <a:close/>
            </a:path>
          </a:pathLst>
        </a:custGeom>
        <a:noFill/>
        <a:ln>
          <a:noFill/>
        </a:ln>
      </xdr:spPr>
      <xdr:txBody>
        <a:bodyPr spcFirstLastPara="1" wrap="square" lIns="88900" tIns="38100" rIns="88900" bIns="38100" anchor="t" anchorCtr="0">
          <a:noAutofit/>
        </a:bodyPr>
        <a:lstStyle/>
        <a:p>
          <a:pPr algn="ctr">
            <a:buNone/>
          </a:pPr>
          <a:r>
            <a:rPr lang="pt-BR" sz="1600" b="1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BASE DE DADOS</a:t>
          </a:r>
          <a:r>
            <a:rPr lang="pt-BR" sz="1600" b="1" baseline="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 - INDICADORES</a:t>
          </a:r>
          <a:endParaRPr lang="pt-BR" sz="110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59839</xdr:rowOff>
    </xdr:from>
    <xdr:to>
      <xdr:col>1</xdr:col>
      <xdr:colOff>561313</xdr:colOff>
      <xdr:row>3</xdr:row>
      <xdr:rowOff>173272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4FDA512-34C0-40C6-8268-947CE7EA8EE0}"/>
            </a:ext>
          </a:extLst>
        </xdr:cNvPr>
        <xdr:cNvSpPr>
          <a:spLocks noChangeAspect="1" noChangeArrowheads="1"/>
        </xdr:cNvSpPr>
      </xdr:nvSpPr>
      <xdr:spPr bwMode="auto">
        <a:xfrm>
          <a:off x="1" y="59839"/>
          <a:ext cx="1151862" cy="656358"/>
        </a:xfrm>
        <a:prstGeom prst="roundRect">
          <a:avLst>
            <a:gd name="adj" fmla="val 6454"/>
          </a:avLst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626090</xdr:colOff>
      <xdr:row>0</xdr:row>
      <xdr:rowOff>58159</xdr:rowOff>
    </xdr:from>
    <xdr:to>
      <xdr:col>5</xdr:col>
      <xdr:colOff>1893569</xdr:colOff>
      <xdr:row>4</xdr:row>
      <xdr:rowOff>9525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3CD2261F-4120-4B97-A8D5-6A44AB13B971}"/>
            </a:ext>
          </a:extLst>
        </xdr:cNvPr>
        <xdr:cNvSpPr>
          <a:spLocks noChangeArrowheads="1"/>
        </xdr:cNvSpPr>
      </xdr:nvSpPr>
      <xdr:spPr bwMode="auto">
        <a:xfrm>
          <a:off x="1216640" y="58159"/>
          <a:ext cx="6191904" cy="675266"/>
        </a:xfrm>
        <a:prstGeom prst="roundRect">
          <a:avLst>
            <a:gd name="adj" fmla="val 16667"/>
          </a:avLst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159685</xdr:colOff>
      <xdr:row>0</xdr:row>
      <xdr:rowOff>136079</xdr:rowOff>
    </xdr:from>
    <xdr:to>
      <xdr:col>1</xdr:col>
      <xdr:colOff>360045</xdr:colOff>
      <xdr:row>3</xdr:row>
      <xdr:rowOff>97156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B027F917-8207-47F1-A3B7-069DB14EDD6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61590" y="132269"/>
          <a:ext cx="789005" cy="507812"/>
        </a:xfrm>
        <a:prstGeom prst="rect">
          <a:avLst/>
        </a:prstGeom>
        <a:ln/>
      </xdr:spPr>
    </xdr:pic>
    <xdr:clientData/>
  </xdr:twoCellAnchor>
  <xdr:twoCellAnchor>
    <xdr:from>
      <xdr:col>2</xdr:col>
      <xdr:colOff>169642</xdr:colOff>
      <xdr:row>0</xdr:row>
      <xdr:rowOff>130212</xdr:rowOff>
    </xdr:from>
    <xdr:to>
      <xdr:col>6</xdr:col>
      <xdr:colOff>78105</xdr:colOff>
      <xdr:row>2</xdr:row>
      <xdr:rowOff>50314</xdr:rowOff>
    </xdr:to>
    <xdr:sp macro="" textlink="">
      <xdr:nvSpPr>
        <xdr:cNvPr id="5" name="Forma Livre: Forma 4">
          <a:extLst>
            <a:ext uri="{FF2B5EF4-FFF2-40B4-BE49-F238E27FC236}">
              <a16:creationId xmlns:a16="http://schemas.microsoft.com/office/drawing/2014/main" id="{7A9507A6-F60F-4482-8889-AED6B2C31789}"/>
            </a:ext>
          </a:extLst>
        </xdr:cNvPr>
        <xdr:cNvSpPr/>
      </xdr:nvSpPr>
      <xdr:spPr>
        <a:xfrm>
          <a:off x="1455517" y="130212"/>
          <a:ext cx="6061613" cy="282052"/>
        </a:xfrm>
        <a:custGeom>
          <a:avLst/>
          <a:gdLst/>
          <a:ahLst/>
          <a:cxnLst/>
          <a:rect l="l" t="t" r="r" b="b"/>
          <a:pathLst>
            <a:path w="3410584" h="467994" extrusionOk="0">
              <a:moveTo>
                <a:pt x="0" y="0"/>
              </a:moveTo>
              <a:lnTo>
                <a:pt x="0" y="467994"/>
              </a:lnTo>
              <a:lnTo>
                <a:pt x="3410584" y="467994"/>
              </a:lnTo>
              <a:lnTo>
                <a:pt x="3410584" y="0"/>
              </a:lnTo>
              <a:close/>
            </a:path>
          </a:pathLst>
        </a:custGeom>
        <a:noFill/>
        <a:ln>
          <a:noFill/>
        </a:ln>
      </xdr:spPr>
      <xdr:txBody>
        <a:bodyPr spcFirstLastPara="1" wrap="square" lIns="88900" tIns="38100" rIns="88900" bIns="38100" anchor="t" anchorCtr="0">
          <a:noAutofit/>
        </a:bodyPr>
        <a:lstStyle/>
        <a:p>
          <a:pPr algn="ctr">
            <a:buNone/>
          </a:pPr>
          <a:r>
            <a:rPr lang="pt-BR" sz="1200" b="1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ENGEMAN - MANUTENÇÃO DE EQUIPAMENTOS COM. E IND. LTDA.</a:t>
          </a:r>
          <a:endParaRPr lang="pt-BR" sz="100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164947</xdr:colOff>
      <xdr:row>2</xdr:row>
      <xdr:rowOff>59441</xdr:rowOff>
    </xdr:from>
    <xdr:to>
      <xdr:col>5</xdr:col>
      <xdr:colOff>1714500</xdr:colOff>
      <xdr:row>5</xdr:row>
      <xdr:rowOff>3635</xdr:rowOff>
    </xdr:to>
    <xdr:sp macro="" textlink="">
      <xdr:nvSpPr>
        <xdr:cNvPr id="6" name="Forma Livre: Forma 5">
          <a:extLst>
            <a:ext uri="{FF2B5EF4-FFF2-40B4-BE49-F238E27FC236}">
              <a16:creationId xmlns:a16="http://schemas.microsoft.com/office/drawing/2014/main" id="{526B3EFD-6FC7-4DCB-9E94-79A9D065190E}"/>
            </a:ext>
          </a:extLst>
        </xdr:cNvPr>
        <xdr:cNvSpPr/>
      </xdr:nvSpPr>
      <xdr:spPr>
        <a:xfrm>
          <a:off x="1450822" y="421391"/>
          <a:ext cx="5778653" cy="306144"/>
        </a:xfrm>
        <a:custGeom>
          <a:avLst/>
          <a:gdLst/>
          <a:ahLst/>
          <a:cxnLst/>
          <a:rect l="l" t="t" r="r" b="b"/>
          <a:pathLst>
            <a:path w="3410584" h="467994" extrusionOk="0">
              <a:moveTo>
                <a:pt x="0" y="0"/>
              </a:moveTo>
              <a:lnTo>
                <a:pt x="0" y="467994"/>
              </a:lnTo>
              <a:lnTo>
                <a:pt x="3410584" y="467994"/>
              </a:lnTo>
              <a:lnTo>
                <a:pt x="3410584" y="0"/>
              </a:lnTo>
              <a:close/>
            </a:path>
          </a:pathLst>
        </a:custGeom>
        <a:noFill/>
        <a:ln>
          <a:noFill/>
        </a:ln>
      </xdr:spPr>
      <xdr:txBody>
        <a:bodyPr spcFirstLastPara="1" wrap="square" lIns="88900" tIns="38100" rIns="88900" bIns="38100" anchor="t" anchorCtr="0">
          <a:noAutofit/>
        </a:bodyPr>
        <a:lstStyle/>
        <a:p>
          <a:pPr algn="ctr">
            <a:buNone/>
          </a:pPr>
          <a:r>
            <a:rPr lang="pt-BR" sz="1600" b="1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BASE DE DADOS</a:t>
          </a:r>
          <a:r>
            <a:rPr lang="pt-BR" sz="1600" b="1" baseline="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 - INDICADORES</a:t>
          </a:r>
          <a:endParaRPr lang="pt-BR" sz="110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59839</xdr:rowOff>
    </xdr:from>
    <xdr:to>
      <xdr:col>1</xdr:col>
      <xdr:colOff>561313</xdr:colOff>
      <xdr:row>3</xdr:row>
      <xdr:rowOff>173272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26A9635-9142-4680-ACBA-A8004434E404}"/>
            </a:ext>
          </a:extLst>
        </xdr:cNvPr>
        <xdr:cNvSpPr>
          <a:spLocks noChangeAspect="1" noChangeArrowheads="1"/>
        </xdr:cNvSpPr>
      </xdr:nvSpPr>
      <xdr:spPr bwMode="auto">
        <a:xfrm>
          <a:off x="1" y="56029"/>
          <a:ext cx="1149957" cy="656358"/>
        </a:xfrm>
        <a:prstGeom prst="roundRect">
          <a:avLst>
            <a:gd name="adj" fmla="val 6454"/>
          </a:avLst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626090</xdr:colOff>
      <xdr:row>0</xdr:row>
      <xdr:rowOff>58159</xdr:rowOff>
    </xdr:from>
    <xdr:to>
      <xdr:col>5</xdr:col>
      <xdr:colOff>1893569</xdr:colOff>
      <xdr:row>4</xdr:row>
      <xdr:rowOff>9525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E723D0B4-5D43-41DD-A34D-0A63C5FC5688}"/>
            </a:ext>
          </a:extLst>
        </xdr:cNvPr>
        <xdr:cNvSpPr>
          <a:spLocks noChangeArrowheads="1"/>
        </xdr:cNvSpPr>
      </xdr:nvSpPr>
      <xdr:spPr bwMode="auto">
        <a:xfrm>
          <a:off x="1220450" y="54349"/>
          <a:ext cx="6184284" cy="680981"/>
        </a:xfrm>
        <a:prstGeom prst="roundRect">
          <a:avLst>
            <a:gd name="adj" fmla="val 16667"/>
          </a:avLst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159685</xdr:colOff>
      <xdr:row>0</xdr:row>
      <xdr:rowOff>136079</xdr:rowOff>
    </xdr:from>
    <xdr:to>
      <xdr:col>1</xdr:col>
      <xdr:colOff>360045</xdr:colOff>
      <xdr:row>3</xdr:row>
      <xdr:rowOff>97156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E07D384E-6FE4-41ED-B21B-254879E465C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61590" y="132269"/>
          <a:ext cx="792815" cy="504002"/>
        </a:xfrm>
        <a:prstGeom prst="rect">
          <a:avLst/>
        </a:prstGeom>
        <a:ln/>
      </xdr:spPr>
    </xdr:pic>
    <xdr:clientData/>
  </xdr:twoCellAnchor>
  <xdr:twoCellAnchor>
    <xdr:from>
      <xdr:col>2</xdr:col>
      <xdr:colOff>169642</xdr:colOff>
      <xdr:row>0</xdr:row>
      <xdr:rowOff>130212</xdr:rowOff>
    </xdr:from>
    <xdr:to>
      <xdr:col>6</xdr:col>
      <xdr:colOff>78105</xdr:colOff>
      <xdr:row>2</xdr:row>
      <xdr:rowOff>50314</xdr:rowOff>
    </xdr:to>
    <xdr:sp macro="" textlink="">
      <xdr:nvSpPr>
        <xdr:cNvPr id="5" name="Forma Livre: Forma 4">
          <a:extLst>
            <a:ext uri="{FF2B5EF4-FFF2-40B4-BE49-F238E27FC236}">
              <a16:creationId xmlns:a16="http://schemas.microsoft.com/office/drawing/2014/main" id="{2CDBF0DA-A410-4E6C-9EFC-2983F327B313}"/>
            </a:ext>
          </a:extLst>
        </xdr:cNvPr>
        <xdr:cNvSpPr/>
      </xdr:nvSpPr>
      <xdr:spPr>
        <a:xfrm>
          <a:off x="1459327" y="134022"/>
          <a:ext cx="6057803" cy="282052"/>
        </a:xfrm>
        <a:custGeom>
          <a:avLst/>
          <a:gdLst/>
          <a:ahLst/>
          <a:cxnLst/>
          <a:rect l="l" t="t" r="r" b="b"/>
          <a:pathLst>
            <a:path w="3410584" h="467994" extrusionOk="0">
              <a:moveTo>
                <a:pt x="0" y="0"/>
              </a:moveTo>
              <a:lnTo>
                <a:pt x="0" y="467994"/>
              </a:lnTo>
              <a:lnTo>
                <a:pt x="3410584" y="467994"/>
              </a:lnTo>
              <a:lnTo>
                <a:pt x="3410584" y="0"/>
              </a:lnTo>
              <a:close/>
            </a:path>
          </a:pathLst>
        </a:custGeom>
        <a:noFill/>
        <a:ln>
          <a:noFill/>
        </a:ln>
      </xdr:spPr>
      <xdr:txBody>
        <a:bodyPr spcFirstLastPara="1" wrap="square" lIns="88900" tIns="38100" rIns="88900" bIns="38100" anchor="t" anchorCtr="0">
          <a:noAutofit/>
        </a:bodyPr>
        <a:lstStyle/>
        <a:p>
          <a:pPr algn="ctr">
            <a:buNone/>
          </a:pPr>
          <a:r>
            <a:rPr lang="pt-BR" sz="1200" b="1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ENGEMAN - MANUTENÇÃO DE EQUIPAMENTOS COM. E IND. LTDA.</a:t>
          </a:r>
          <a:endParaRPr lang="pt-BR" sz="100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1396462</xdr:colOff>
      <xdr:row>2</xdr:row>
      <xdr:rowOff>6387</xdr:rowOff>
    </xdr:from>
    <xdr:to>
      <xdr:col>5</xdr:col>
      <xdr:colOff>789555</xdr:colOff>
      <xdr:row>4</xdr:row>
      <xdr:rowOff>11541</xdr:rowOff>
    </xdr:to>
    <xdr:sp macro="" textlink="">
      <xdr:nvSpPr>
        <xdr:cNvPr id="6" name="Forma Livre: Forma 5">
          <a:extLst>
            <a:ext uri="{FF2B5EF4-FFF2-40B4-BE49-F238E27FC236}">
              <a16:creationId xmlns:a16="http://schemas.microsoft.com/office/drawing/2014/main" id="{B48CFAB4-CAF3-408D-B692-0A293BDA3FFA}"/>
            </a:ext>
          </a:extLst>
        </xdr:cNvPr>
        <xdr:cNvSpPr/>
      </xdr:nvSpPr>
      <xdr:spPr>
        <a:xfrm>
          <a:off x="2577562" y="368337"/>
          <a:ext cx="5774843" cy="367104"/>
        </a:xfrm>
        <a:custGeom>
          <a:avLst/>
          <a:gdLst/>
          <a:ahLst/>
          <a:cxnLst/>
          <a:rect l="l" t="t" r="r" b="b"/>
          <a:pathLst>
            <a:path w="3410584" h="467994" extrusionOk="0">
              <a:moveTo>
                <a:pt x="0" y="0"/>
              </a:moveTo>
              <a:lnTo>
                <a:pt x="0" y="467994"/>
              </a:lnTo>
              <a:lnTo>
                <a:pt x="3410584" y="467994"/>
              </a:lnTo>
              <a:lnTo>
                <a:pt x="3410584" y="0"/>
              </a:lnTo>
              <a:close/>
            </a:path>
          </a:pathLst>
        </a:custGeom>
        <a:noFill/>
        <a:ln>
          <a:noFill/>
        </a:ln>
      </xdr:spPr>
      <xdr:txBody>
        <a:bodyPr spcFirstLastPara="1" wrap="square" lIns="88900" tIns="38100" rIns="88900" bIns="38100" anchor="t" anchorCtr="0">
          <a:noAutofit/>
        </a:bodyPr>
        <a:lstStyle/>
        <a:p>
          <a:pPr algn="ctr">
            <a:buNone/>
          </a:pPr>
          <a:r>
            <a:rPr lang="pt-BR" sz="1600" b="1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BASE DE DADOS</a:t>
          </a:r>
          <a:r>
            <a:rPr lang="pt-BR" sz="1600" b="1" baseline="0">
              <a:solidFill>
                <a:srgbClr val="000000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 - INDICADORES</a:t>
          </a:r>
          <a:endParaRPr lang="pt-BR" sz="110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5C9E-B830-4E33-8FEA-A1B66C649E95}">
  <sheetPr>
    <pageSetUpPr fitToPage="1"/>
  </sheetPr>
  <dimension ref="A6:K6"/>
  <sheetViews>
    <sheetView showGridLines="0" view="pageBreakPreview" zoomScale="85" zoomScaleNormal="100" zoomScaleSheetLayoutView="85" workbookViewId="0">
      <selection activeCell="F19" sqref="F19"/>
    </sheetView>
  </sheetViews>
  <sheetFormatPr defaultRowHeight="14.4" x14ac:dyDescent="0.3"/>
  <cols>
    <col min="1" max="1" width="10.109375" bestFit="1" customWidth="1"/>
    <col min="4" max="4" width="19.88671875" customWidth="1"/>
    <col min="5" max="5" width="12.109375" customWidth="1"/>
    <col min="7" max="7" width="22.88671875" customWidth="1"/>
    <col min="9" max="9" width="16.6640625" customWidth="1"/>
    <col min="11" max="11" width="15.44140625" customWidth="1"/>
  </cols>
  <sheetData>
    <row r="6" spans="1:11" x14ac:dyDescent="0.3">
      <c r="A6" s="1" t="s">
        <v>0</v>
      </c>
      <c r="B6" s="1" t="s">
        <v>1</v>
      </c>
      <c r="C6" s="1" t="s">
        <v>2</v>
      </c>
      <c r="D6" s="1" t="s">
        <v>3</v>
      </c>
      <c r="E6" s="2" t="s">
        <v>4</v>
      </c>
      <c r="F6" s="2" t="s">
        <v>5</v>
      </c>
      <c r="G6" s="2" t="s">
        <v>6</v>
      </c>
      <c r="H6" s="3" t="s">
        <v>7</v>
      </c>
      <c r="I6" s="4" t="s">
        <v>8</v>
      </c>
      <c r="J6" s="4" t="s">
        <v>9</v>
      </c>
      <c r="K6" s="4" t="s">
        <v>10</v>
      </c>
    </row>
  </sheetData>
  <dataValidations disablePrompts="1" count="1">
    <dataValidation type="list" allowBlank="1" showInputMessage="1" showErrorMessage="1" sqref="C6" xr:uid="{FF133FE0-E724-4822-9759-2360964043A7}">
      <formula1>"JANEIRO,FEVEREIRO,MARÇO,ABRIL,MAIO,JUNHO,JULHO,AGOSTO,SETEMBRO,NOVEMBRO,DEZEMBRO"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scale="96" orientation="landscape" r:id="rId1"/>
  <headerFooter>
    <oddFooter>&amp;LFORM.1532/REV.00/APROV.GLB/26/03/2026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4B93-3E90-4DAD-9F92-AD7E4C9DB095}">
  <sheetPr>
    <pageSetUpPr fitToPage="1"/>
  </sheetPr>
  <dimension ref="A7:J7"/>
  <sheetViews>
    <sheetView showGridLines="0" view="pageBreakPreview" zoomScaleNormal="100" zoomScaleSheetLayoutView="100" workbookViewId="0">
      <selection activeCell="F19" sqref="F19"/>
    </sheetView>
  </sheetViews>
  <sheetFormatPr defaultRowHeight="14.4" x14ac:dyDescent="0.3"/>
  <cols>
    <col min="1" max="1" width="9.33203125" customWidth="1"/>
    <col min="2" max="2" width="6.5546875" bestFit="1" customWidth="1"/>
    <col min="3" max="3" width="5.5546875" bestFit="1" customWidth="1"/>
    <col min="4" max="4" width="17.6640625" bestFit="1" customWidth="1"/>
    <col min="5" max="5" width="5.6640625" bestFit="1" customWidth="1"/>
    <col min="6" max="6" width="5.109375" bestFit="1" customWidth="1"/>
    <col min="7" max="7" width="18.33203125" bestFit="1" customWidth="1"/>
    <col min="8" max="8" width="6.88671875" bestFit="1" customWidth="1"/>
    <col min="9" max="9" width="17.33203125" bestFit="1" customWidth="1"/>
    <col min="10" max="10" width="8.33203125" bestFit="1" customWidth="1"/>
  </cols>
  <sheetData>
    <row r="7" spans="1:10" x14ac:dyDescent="0.3">
      <c r="A7" s="1" t="s">
        <v>0</v>
      </c>
      <c r="B7" s="1" t="s">
        <v>1</v>
      </c>
      <c r="C7" s="1" t="s">
        <v>2</v>
      </c>
      <c r="D7" s="1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5" t="s">
        <v>8</v>
      </c>
      <c r="J7" s="5" t="s">
        <v>9</v>
      </c>
    </row>
  </sheetData>
  <dataValidations count="1">
    <dataValidation type="list" allowBlank="1" showInputMessage="1" showErrorMessage="1" sqref="C7" xr:uid="{045D259F-D4AB-4237-92DB-9E3DE774583A}">
      <formula1>"JANEIRO,FEVEREIRO,MARÇO,ABRIL,MAIO,JUNHO,JULHO,AGOSTO,SETEMBRO,NOVEMBRO,DEZEMBRO"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orientation="landscape" r:id="rId1"/>
  <headerFooter>
    <oddFooter>&amp;LFORM.1532/REV.00/APROV.GLB/26/03/2026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42A0-D98D-4DBC-AC4A-6AF386CBC07C}">
  <sheetPr>
    <pageSetUpPr fitToPage="1"/>
  </sheetPr>
  <dimension ref="A5:R21"/>
  <sheetViews>
    <sheetView showGridLines="0" tabSelected="1" zoomScaleNormal="100" zoomScaleSheetLayoutView="100" workbookViewId="0">
      <selection activeCell="N12" sqref="N12"/>
    </sheetView>
  </sheetViews>
  <sheetFormatPr defaultRowHeight="14.4" x14ac:dyDescent="0.3"/>
  <cols>
    <col min="2" max="2" width="12.88671875" customWidth="1"/>
    <col min="3" max="3" width="12.88671875" hidden="1" customWidth="1"/>
    <col min="4" max="5" width="10.88671875" customWidth="1"/>
    <col min="6" max="6" width="10.88671875" hidden="1" customWidth="1"/>
    <col min="7" max="9" width="10.88671875" customWidth="1"/>
    <col min="10" max="11" width="16.88671875" customWidth="1"/>
    <col min="12" max="14" width="12.44140625" customWidth="1"/>
    <col min="15" max="15" width="14.109375" customWidth="1"/>
    <col min="16" max="16" width="15.6640625" customWidth="1"/>
    <col min="17" max="17" width="16.88671875" customWidth="1"/>
    <col min="18" max="18" width="15.5546875" customWidth="1"/>
  </cols>
  <sheetData>
    <row r="5" spans="1:18" ht="15" thickBot="1" x14ac:dyDescent="0.35"/>
    <row r="6" spans="1:18" ht="21.6" thickBot="1" x14ac:dyDescent="0.35">
      <c r="B6" s="25" t="s">
        <v>11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7"/>
    </row>
    <row r="7" spans="1:18" ht="15.6" thickTop="1" thickBot="1" x14ac:dyDescent="0.35"/>
    <row r="8" spans="1:18" ht="48.6" thickBot="1" x14ac:dyDescent="0.35">
      <c r="A8" t="s">
        <v>0</v>
      </c>
      <c r="B8" s="7" t="s">
        <v>2</v>
      </c>
      <c r="C8" s="7"/>
      <c r="D8" s="7" t="s">
        <v>12</v>
      </c>
      <c r="E8" s="7" t="s">
        <v>13</v>
      </c>
      <c r="F8" s="7" t="s">
        <v>14</v>
      </c>
      <c r="G8" s="7" t="s">
        <v>14</v>
      </c>
      <c r="H8" s="7" t="s">
        <v>15</v>
      </c>
      <c r="I8" s="7" t="s">
        <v>16</v>
      </c>
      <c r="J8" s="8" t="s">
        <v>17</v>
      </c>
      <c r="K8" s="8" t="s">
        <v>18</v>
      </c>
      <c r="L8" s="8" t="s">
        <v>19</v>
      </c>
      <c r="M8" s="8" t="s">
        <v>20</v>
      </c>
      <c r="N8" s="8" t="s">
        <v>21</v>
      </c>
      <c r="O8" s="8" t="s">
        <v>22</v>
      </c>
      <c r="P8" s="8" t="s">
        <v>23</v>
      </c>
      <c r="Q8" s="8" t="s">
        <v>69</v>
      </c>
      <c r="R8" s="8" t="s">
        <v>24</v>
      </c>
    </row>
    <row r="9" spans="1:18" ht="25.2" customHeight="1" thickTop="1" thickBot="1" x14ac:dyDescent="0.35">
      <c r="B9" s="9" t="s">
        <v>25</v>
      </c>
      <c r="C9" s="9">
        <v>1</v>
      </c>
      <c r="D9" s="10">
        <f t="shared" ref="D9:D10" si="0">J9*1000000/R9</f>
        <v>0</v>
      </c>
      <c r="E9" s="10">
        <f t="shared" ref="E9:E10" si="1">K9*1000000/R9</f>
        <v>1.0997866084043713</v>
      </c>
      <c r="F9" s="9"/>
      <c r="G9" s="10">
        <f>J9+K9*1000000/R9</f>
        <v>1.0997866084043713</v>
      </c>
      <c r="H9" s="10">
        <f>J9+K9+Q9*1000000/R9</f>
        <v>7.5987196504262275</v>
      </c>
      <c r="I9" s="10">
        <f t="shared" ref="I9:I10" si="2">M9+N9*1000000/R9</f>
        <v>0</v>
      </c>
      <c r="J9" s="20">
        <v>0</v>
      </c>
      <c r="K9" s="20">
        <v>1</v>
      </c>
      <c r="L9" s="20">
        <v>1</v>
      </c>
      <c r="M9" s="20">
        <v>0</v>
      </c>
      <c r="N9" s="20">
        <v>0</v>
      </c>
      <c r="O9" s="20">
        <v>0</v>
      </c>
      <c r="P9" s="20">
        <v>0</v>
      </c>
      <c r="Q9" s="20">
        <v>6</v>
      </c>
      <c r="R9" s="9">
        <v>909267.3</v>
      </c>
    </row>
    <row r="10" spans="1:18" ht="25.2" customHeight="1" thickTop="1" thickBot="1" x14ac:dyDescent="0.35">
      <c r="B10" s="11" t="s">
        <v>26</v>
      </c>
      <c r="C10" s="11">
        <v>2</v>
      </c>
      <c r="D10" s="10">
        <f t="shared" si="0"/>
        <v>0</v>
      </c>
      <c r="E10" s="10">
        <f t="shared" si="1"/>
        <v>0</v>
      </c>
      <c r="F10" s="11"/>
      <c r="G10" s="10">
        <f t="shared" ref="G10" si="3">J10+K10*1000000/R10</f>
        <v>0</v>
      </c>
      <c r="H10" s="10">
        <f t="shared" ref="H10" si="4">J10+K10+Q10*1000000/R10</f>
        <v>5.3697243129840473</v>
      </c>
      <c r="I10" s="10">
        <f t="shared" si="2"/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0">
        <v>0</v>
      </c>
      <c r="Q10" s="21">
        <v>5</v>
      </c>
      <c r="R10" s="11">
        <v>931146.5</v>
      </c>
    </row>
    <row r="11" spans="1:18" ht="25.2" customHeight="1" thickTop="1" thickBot="1" x14ac:dyDescent="0.35">
      <c r="B11" s="12" t="s">
        <v>27</v>
      </c>
      <c r="C11" s="12">
        <v>3</v>
      </c>
      <c r="D11" s="10" t="e">
        <f t="shared" ref="D9:D20" si="5">J11*1000000/R11</f>
        <v>#DIV/0!</v>
      </c>
      <c r="E11" s="10" t="e">
        <f t="shared" ref="E10:E20" si="6">K11+Q11*1000000/R11</f>
        <v>#DIV/0!</v>
      </c>
      <c r="F11" s="12"/>
      <c r="G11" s="10" t="e">
        <f t="shared" ref="G10:G20" si="7">J11+K11*1000000/R11</f>
        <v>#DIV/0!</v>
      </c>
      <c r="H11" s="10" t="e">
        <f t="shared" ref="H10:H20" si="8">J11+K11+Q11*1000000/R11</f>
        <v>#DIV/0!</v>
      </c>
      <c r="I11" s="10" t="e">
        <f t="shared" ref="I9:I20" si="9">M11+N11*1000000/R11</f>
        <v>#DIV/0!</v>
      </c>
      <c r="J11" s="21"/>
      <c r="K11" s="21"/>
      <c r="L11" s="21"/>
      <c r="M11" s="21"/>
      <c r="N11" s="21"/>
      <c r="O11" s="21"/>
      <c r="P11" s="20"/>
      <c r="Q11" s="20"/>
      <c r="R11" s="12"/>
    </row>
    <row r="12" spans="1:18" ht="25.2" customHeight="1" thickTop="1" thickBot="1" x14ac:dyDescent="0.35">
      <c r="B12" s="11" t="s">
        <v>28</v>
      </c>
      <c r="C12" s="11">
        <v>4</v>
      </c>
      <c r="D12" s="10" t="e">
        <f t="shared" si="5"/>
        <v>#DIV/0!</v>
      </c>
      <c r="E12" s="10" t="e">
        <f t="shared" si="6"/>
        <v>#DIV/0!</v>
      </c>
      <c r="F12" s="11"/>
      <c r="G12" s="10" t="e">
        <f t="shared" si="7"/>
        <v>#DIV/0!</v>
      </c>
      <c r="H12" s="10" t="e">
        <f t="shared" si="8"/>
        <v>#DIV/0!</v>
      </c>
      <c r="I12" s="10" t="e">
        <f t="shared" si="9"/>
        <v>#DIV/0!</v>
      </c>
      <c r="J12" s="21"/>
      <c r="K12" s="21"/>
      <c r="L12" s="21"/>
      <c r="M12" s="21"/>
      <c r="N12" s="21"/>
      <c r="O12" s="21"/>
      <c r="P12" s="20"/>
      <c r="Q12" s="21"/>
      <c r="R12" s="11"/>
    </row>
    <row r="13" spans="1:18" ht="25.2" customHeight="1" thickTop="1" thickBot="1" x14ac:dyDescent="0.35">
      <c r="B13" s="12" t="s">
        <v>29</v>
      </c>
      <c r="C13" s="12">
        <v>5</v>
      </c>
      <c r="D13" s="10" t="e">
        <f t="shared" si="5"/>
        <v>#DIV/0!</v>
      </c>
      <c r="E13" s="10" t="e">
        <f t="shared" si="6"/>
        <v>#DIV/0!</v>
      </c>
      <c r="F13" s="12"/>
      <c r="G13" s="10" t="e">
        <f t="shared" si="7"/>
        <v>#DIV/0!</v>
      </c>
      <c r="H13" s="10" t="e">
        <f t="shared" si="8"/>
        <v>#DIV/0!</v>
      </c>
      <c r="I13" s="10" t="e">
        <f t="shared" si="9"/>
        <v>#DIV/0!</v>
      </c>
      <c r="J13" s="21"/>
      <c r="K13" s="21"/>
      <c r="L13" s="21"/>
      <c r="M13" s="21"/>
      <c r="N13" s="21"/>
      <c r="O13" s="21"/>
      <c r="P13" s="20"/>
      <c r="Q13" s="20"/>
      <c r="R13" s="12"/>
    </row>
    <row r="14" spans="1:18" ht="25.2" customHeight="1" thickTop="1" thickBot="1" x14ac:dyDescent="0.35">
      <c r="B14" s="11" t="s">
        <v>30</v>
      </c>
      <c r="C14" s="11">
        <v>6</v>
      </c>
      <c r="D14" s="10" t="e">
        <f t="shared" si="5"/>
        <v>#DIV/0!</v>
      </c>
      <c r="E14" s="10" t="e">
        <f t="shared" si="6"/>
        <v>#DIV/0!</v>
      </c>
      <c r="F14" s="11"/>
      <c r="G14" s="10" t="e">
        <f t="shared" si="7"/>
        <v>#DIV/0!</v>
      </c>
      <c r="H14" s="10" t="e">
        <f t="shared" si="8"/>
        <v>#DIV/0!</v>
      </c>
      <c r="I14" s="10" t="e">
        <f t="shared" si="9"/>
        <v>#DIV/0!</v>
      </c>
      <c r="J14" s="21"/>
      <c r="K14" s="21"/>
      <c r="L14" s="21"/>
      <c r="M14" s="21"/>
      <c r="N14" s="21"/>
      <c r="O14" s="21"/>
      <c r="P14" s="20"/>
      <c r="Q14" s="21"/>
      <c r="R14" s="11"/>
    </row>
    <row r="15" spans="1:18" ht="25.2" customHeight="1" thickTop="1" thickBot="1" x14ac:dyDescent="0.35">
      <c r="B15" s="12" t="s">
        <v>31</v>
      </c>
      <c r="C15" s="12">
        <v>7</v>
      </c>
      <c r="D15" s="10" t="e">
        <f t="shared" si="5"/>
        <v>#DIV/0!</v>
      </c>
      <c r="E15" s="10" t="e">
        <f t="shared" si="6"/>
        <v>#DIV/0!</v>
      </c>
      <c r="F15" s="13"/>
      <c r="G15" s="10" t="e">
        <f t="shared" si="7"/>
        <v>#DIV/0!</v>
      </c>
      <c r="H15" s="10" t="e">
        <f t="shared" si="8"/>
        <v>#DIV/0!</v>
      </c>
      <c r="I15" s="10" t="e">
        <f t="shared" si="9"/>
        <v>#DIV/0!</v>
      </c>
      <c r="J15" s="21"/>
      <c r="K15" s="22"/>
      <c r="L15" s="21"/>
      <c r="M15" s="21"/>
      <c r="N15" s="21"/>
      <c r="O15" s="21"/>
      <c r="P15" s="21"/>
      <c r="Q15" s="20"/>
      <c r="R15" s="14"/>
    </row>
    <row r="16" spans="1:18" ht="25.2" customHeight="1" thickTop="1" thickBot="1" x14ac:dyDescent="0.35">
      <c r="B16" s="11" t="s">
        <v>32</v>
      </c>
      <c r="C16" s="11">
        <v>8</v>
      </c>
      <c r="D16" s="10" t="e">
        <f t="shared" si="5"/>
        <v>#DIV/0!</v>
      </c>
      <c r="E16" s="10" t="e">
        <f t="shared" si="6"/>
        <v>#DIV/0!</v>
      </c>
      <c r="F16" s="15"/>
      <c r="G16" s="10" t="e">
        <f t="shared" si="7"/>
        <v>#DIV/0!</v>
      </c>
      <c r="H16" s="10" t="e">
        <f t="shared" si="8"/>
        <v>#DIV/0!</v>
      </c>
      <c r="I16" s="10" t="e">
        <f t="shared" si="9"/>
        <v>#DIV/0!</v>
      </c>
      <c r="J16" s="21"/>
      <c r="K16" s="22"/>
      <c r="L16" s="21"/>
      <c r="M16" s="21"/>
      <c r="N16" s="21"/>
      <c r="O16" s="21"/>
      <c r="P16" s="21"/>
      <c r="Q16" s="21"/>
      <c r="R16" s="16"/>
    </row>
    <row r="17" spans="2:18" ht="25.2" customHeight="1" thickTop="1" thickBot="1" x14ac:dyDescent="0.35">
      <c r="B17" s="12" t="s">
        <v>33</v>
      </c>
      <c r="C17" s="12">
        <v>9</v>
      </c>
      <c r="D17" s="10" t="e">
        <f t="shared" si="5"/>
        <v>#DIV/0!</v>
      </c>
      <c r="E17" s="10" t="e">
        <f t="shared" si="6"/>
        <v>#DIV/0!</v>
      </c>
      <c r="F17" s="13"/>
      <c r="G17" s="10" t="e">
        <f t="shared" si="7"/>
        <v>#DIV/0!</v>
      </c>
      <c r="H17" s="10" t="e">
        <f t="shared" si="8"/>
        <v>#DIV/0!</v>
      </c>
      <c r="I17" s="10" t="e">
        <f t="shared" si="9"/>
        <v>#DIV/0!</v>
      </c>
      <c r="J17" s="21"/>
      <c r="K17" s="22"/>
      <c r="L17" s="21"/>
      <c r="M17" s="21"/>
      <c r="N17" s="21"/>
      <c r="O17" s="21"/>
      <c r="P17" s="21"/>
      <c r="Q17" s="20"/>
      <c r="R17" s="14"/>
    </row>
    <row r="18" spans="2:18" ht="25.2" customHeight="1" thickTop="1" thickBot="1" x14ac:dyDescent="0.35">
      <c r="B18" s="11" t="s">
        <v>34</v>
      </c>
      <c r="C18" s="11">
        <v>10</v>
      </c>
      <c r="D18" s="10" t="e">
        <f t="shared" si="5"/>
        <v>#DIV/0!</v>
      </c>
      <c r="E18" s="10" t="e">
        <f t="shared" si="6"/>
        <v>#DIV/0!</v>
      </c>
      <c r="F18" s="15"/>
      <c r="G18" s="10" t="e">
        <f t="shared" si="7"/>
        <v>#DIV/0!</v>
      </c>
      <c r="H18" s="10" t="e">
        <f t="shared" si="8"/>
        <v>#DIV/0!</v>
      </c>
      <c r="I18" s="10" t="e">
        <f t="shared" si="9"/>
        <v>#DIV/0!</v>
      </c>
      <c r="J18" s="21"/>
      <c r="K18" s="22"/>
      <c r="L18" s="21"/>
      <c r="M18" s="21"/>
      <c r="N18" s="21"/>
      <c r="O18" s="21"/>
      <c r="P18" s="21"/>
      <c r="Q18" s="21"/>
      <c r="R18" s="16"/>
    </row>
    <row r="19" spans="2:18" ht="25.2" customHeight="1" thickTop="1" thickBot="1" x14ac:dyDescent="0.35">
      <c r="B19" s="12" t="s">
        <v>35</v>
      </c>
      <c r="C19" s="12">
        <v>11</v>
      </c>
      <c r="D19" s="10" t="e">
        <f t="shared" si="5"/>
        <v>#DIV/0!</v>
      </c>
      <c r="E19" s="10" t="e">
        <f t="shared" si="6"/>
        <v>#DIV/0!</v>
      </c>
      <c r="F19" s="13"/>
      <c r="G19" s="10" t="e">
        <f t="shared" si="7"/>
        <v>#DIV/0!</v>
      </c>
      <c r="H19" s="10" t="e">
        <f t="shared" si="8"/>
        <v>#DIV/0!</v>
      </c>
      <c r="I19" s="10" t="e">
        <f t="shared" si="9"/>
        <v>#DIV/0!</v>
      </c>
      <c r="J19" s="21"/>
      <c r="K19" s="22"/>
      <c r="L19" s="21"/>
      <c r="M19" s="21"/>
      <c r="N19" s="21"/>
      <c r="O19" s="21"/>
      <c r="P19" s="21"/>
      <c r="Q19" s="20"/>
      <c r="R19" s="14"/>
    </row>
    <row r="20" spans="2:18" ht="25.2" customHeight="1" thickTop="1" thickBot="1" x14ac:dyDescent="0.35">
      <c r="B20" s="11" t="s">
        <v>36</v>
      </c>
      <c r="C20" s="11">
        <v>12</v>
      </c>
      <c r="D20" s="10" t="e">
        <f t="shared" si="5"/>
        <v>#DIV/0!</v>
      </c>
      <c r="E20" s="10" t="e">
        <f t="shared" si="6"/>
        <v>#DIV/0!</v>
      </c>
      <c r="F20" s="15"/>
      <c r="G20" s="10" t="e">
        <f t="shared" si="7"/>
        <v>#DIV/0!</v>
      </c>
      <c r="H20" s="10" t="e">
        <f t="shared" si="8"/>
        <v>#DIV/0!</v>
      </c>
      <c r="I20" s="10" t="e">
        <f t="shared" si="9"/>
        <v>#DIV/0!</v>
      </c>
      <c r="J20" s="21"/>
      <c r="K20" s="22"/>
      <c r="L20" s="21"/>
      <c r="M20" s="21"/>
      <c r="N20" s="21"/>
      <c r="O20" s="21"/>
      <c r="P20" s="21"/>
      <c r="Q20" s="21"/>
      <c r="R20" s="16"/>
    </row>
    <row r="21" spans="2:18" x14ac:dyDescent="0.3">
      <c r="B21" s="17" t="s">
        <v>37</v>
      </c>
      <c r="D21" s="18" t="e">
        <f>AVERAGE(D9:D20)</f>
        <v>#DIV/0!</v>
      </c>
      <c r="E21" s="18" t="e">
        <f>AVERAGE(E9:E20)</f>
        <v>#DIV/0!</v>
      </c>
      <c r="F21" s="19"/>
      <c r="G21" s="18" t="e">
        <f>AVERAGE(G9:G20)</f>
        <v>#DIV/0!</v>
      </c>
      <c r="H21" s="18" t="e">
        <f>AVERAGE(H9:H20)</f>
        <v>#DIV/0!</v>
      </c>
      <c r="I21" s="18" t="e">
        <f>AVERAGE(I9:I20)</f>
        <v>#DIV/0!</v>
      </c>
      <c r="R21">
        <f>SUM(R9:R20)</f>
        <v>1840413.8</v>
      </c>
    </row>
  </sheetData>
  <mergeCells count="1">
    <mergeCell ref="B6:R6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64" orientation="landscape" r:id="rId1"/>
  <headerFooter>
    <oddFooter>&amp;LFORM.1532/REV.00/APROV.GLB/26/03/2026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BC6B-0EE0-46A4-98F8-43A3D46F9824}">
  <sheetPr>
    <pageSetUpPr fitToPage="1"/>
  </sheetPr>
  <dimension ref="A5:P7"/>
  <sheetViews>
    <sheetView view="pageBreakPreview" zoomScale="55" zoomScaleNormal="85" zoomScaleSheetLayoutView="55" workbookViewId="0">
      <selection activeCell="F19" sqref="F19"/>
    </sheetView>
  </sheetViews>
  <sheetFormatPr defaultRowHeight="14.4" x14ac:dyDescent="0.3"/>
  <cols>
    <col min="1" max="1" width="16.88671875" customWidth="1"/>
    <col min="2" max="2" width="18.44140625" customWidth="1"/>
    <col min="3" max="3" width="27.44140625" bestFit="1" customWidth="1"/>
    <col min="4" max="4" width="28.5546875" bestFit="1" customWidth="1"/>
    <col min="5" max="5" width="18.5546875" bestFit="1" customWidth="1"/>
    <col min="6" max="6" width="18" bestFit="1" customWidth="1"/>
    <col min="7" max="7" width="27.33203125" bestFit="1" customWidth="1"/>
    <col min="8" max="8" width="28" bestFit="1" customWidth="1"/>
    <col min="9" max="9" width="12.33203125" bestFit="1" customWidth="1"/>
    <col min="10" max="10" width="36.6640625" bestFit="1" customWidth="1"/>
    <col min="11" max="11" width="23.33203125" bestFit="1" customWidth="1"/>
    <col min="12" max="12" width="10.109375" bestFit="1" customWidth="1"/>
    <col min="13" max="13" width="29.33203125" customWidth="1"/>
    <col min="14" max="14" width="29.109375" bestFit="1" customWidth="1"/>
    <col min="15" max="15" width="28.109375" customWidth="1"/>
    <col min="16" max="16" width="32.88671875" bestFit="1" customWidth="1"/>
  </cols>
  <sheetData>
    <row r="5" spans="1:16" ht="15" x14ac:dyDescent="0.35"/>
    <row r="7" spans="1:16" x14ac:dyDescent="0.3">
      <c r="A7" t="s">
        <v>0</v>
      </c>
      <c r="B7" t="s">
        <v>2</v>
      </c>
      <c r="C7" t="s">
        <v>38</v>
      </c>
      <c r="D7" t="s">
        <v>39</v>
      </c>
      <c r="E7" t="s">
        <v>40</v>
      </c>
      <c r="F7" t="s">
        <v>41</v>
      </c>
      <c r="G7" s="6" t="s">
        <v>42</v>
      </c>
      <c r="H7" s="6" t="s">
        <v>43</v>
      </c>
      <c r="I7" s="6" t="s">
        <v>44</v>
      </c>
      <c r="J7" s="6" t="s">
        <v>45</v>
      </c>
      <c r="K7" s="6" t="s">
        <v>46</v>
      </c>
      <c r="L7" s="6" t="s">
        <v>47</v>
      </c>
      <c r="M7" s="6" t="s">
        <v>48</v>
      </c>
      <c r="N7" s="6" t="s">
        <v>49</v>
      </c>
      <c r="O7" s="6" t="s">
        <v>50</v>
      </c>
      <c r="P7" s="6" t="s">
        <v>51</v>
      </c>
    </row>
  </sheetData>
  <printOptions horizontalCentered="1"/>
  <pageMargins left="0.51181102362204722" right="0.51181102362204722" top="0.78740157480314965" bottom="0.78740157480314965" header="0.31496062992125984" footer="0.31496062992125984"/>
  <pageSetup paperSize="9" scale="34" orientation="landscape" r:id="rId1"/>
  <headerFooter>
    <oddFooter>&amp;LFORM.1532/REV.00/APROV.GLB/26/03/2026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5355-1F62-45A5-814A-6AAE08968FD9}">
  <sheetPr>
    <pageSetUpPr fitToPage="1"/>
  </sheetPr>
  <dimension ref="A6:F20"/>
  <sheetViews>
    <sheetView showGridLines="0" view="pageBreakPreview" zoomScale="115" zoomScaleNormal="100" zoomScaleSheetLayoutView="115" workbookViewId="0">
      <selection activeCell="F19" sqref="F19"/>
    </sheetView>
  </sheetViews>
  <sheetFormatPr defaultRowHeight="14.4" x14ac:dyDescent="0.3"/>
  <cols>
    <col min="1" max="1" width="8.6640625" bestFit="1" customWidth="1"/>
    <col min="2" max="3" width="19.33203125" customWidth="1"/>
    <col min="4" max="4" width="31.6640625" bestFit="1" customWidth="1"/>
    <col min="5" max="5" width="29.33203125" bestFit="1" customWidth="1"/>
    <col min="6" max="6" width="14.21875" customWidth="1"/>
  </cols>
  <sheetData>
    <row r="6" spans="1:6" s="19" customFormat="1" x14ac:dyDescent="0.3">
      <c r="A6" s="24" t="s">
        <v>0</v>
      </c>
      <c r="B6" s="24" t="s">
        <v>52</v>
      </c>
      <c r="C6" s="24" t="s">
        <v>53</v>
      </c>
      <c r="D6" s="24" t="s">
        <v>54</v>
      </c>
      <c r="E6" s="24" t="s">
        <v>55</v>
      </c>
      <c r="F6" s="24" t="s">
        <v>56</v>
      </c>
    </row>
    <row r="7" spans="1:6" x14ac:dyDescent="0.3">
      <c r="A7" s="23"/>
      <c r="B7" s="23"/>
      <c r="C7" s="23"/>
      <c r="D7" s="23"/>
      <c r="E7" s="23"/>
      <c r="F7" s="23"/>
    </row>
    <row r="8" spans="1:6" x14ac:dyDescent="0.3">
      <c r="A8" s="23"/>
      <c r="B8" s="23"/>
      <c r="C8" s="23"/>
      <c r="D8" s="23"/>
      <c r="E8" s="23"/>
      <c r="F8" s="23"/>
    </row>
    <row r="9" spans="1:6" x14ac:dyDescent="0.3">
      <c r="A9" s="23"/>
      <c r="B9" s="23"/>
      <c r="C9" s="23"/>
      <c r="D9" s="23"/>
      <c r="E9" s="23"/>
      <c r="F9" s="23"/>
    </row>
    <row r="10" spans="1:6" x14ac:dyDescent="0.3">
      <c r="A10" s="23"/>
      <c r="B10" s="23"/>
      <c r="C10" s="23"/>
      <c r="D10" s="23"/>
      <c r="E10" s="23"/>
      <c r="F10" s="23"/>
    </row>
    <row r="11" spans="1:6" x14ac:dyDescent="0.3">
      <c r="A11" s="23"/>
      <c r="B11" s="23"/>
      <c r="C11" s="23"/>
      <c r="D11" s="23"/>
      <c r="E11" s="23"/>
      <c r="F11" s="23"/>
    </row>
    <row r="12" spans="1:6" x14ac:dyDescent="0.3">
      <c r="A12" s="23"/>
      <c r="B12" s="23"/>
      <c r="C12" s="23"/>
      <c r="D12" s="23"/>
      <c r="E12" s="23"/>
      <c r="F12" s="23"/>
    </row>
    <row r="13" spans="1:6" x14ac:dyDescent="0.3">
      <c r="A13" s="23"/>
      <c r="B13" s="23"/>
      <c r="C13" s="23"/>
      <c r="D13" s="23"/>
      <c r="E13" s="23"/>
      <c r="F13" s="23"/>
    </row>
    <row r="14" spans="1:6" x14ac:dyDescent="0.3">
      <c r="A14" s="23"/>
      <c r="B14" s="23"/>
      <c r="C14" s="23"/>
      <c r="D14" s="23"/>
      <c r="E14" s="23"/>
      <c r="F14" s="23"/>
    </row>
    <row r="15" spans="1:6" x14ac:dyDescent="0.3">
      <c r="A15" s="23"/>
      <c r="B15" s="23"/>
      <c r="C15" s="23"/>
      <c r="D15" s="23"/>
      <c r="E15" s="23"/>
      <c r="F15" s="23"/>
    </row>
    <row r="16" spans="1:6" x14ac:dyDescent="0.3">
      <c r="A16" s="23"/>
      <c r="B16" s="23"/>
      <c r="C16" s="23"/>
      <c r="D16" s="23"/>
      <c r="E16" s="23"/>
      <c r="F16" s="23"/>
    </row>
    <row r="17" spans="1:6" x14ac:dyDescent="0.3">
      <c r="A17" s="23"/>
      <c r="B17" s="23"/>
      <c r="C17" s="23"/>
      <c r="D17" s="23"/>
      <c r="E17" s="23"/>
      <c r="F17" s="23"/>
    </row>
    <row r="18" spans="1:6" x14ac:dyDescent="0.3">
      <c r="A18" s="23"/>
      <c r="B18" s="23"/>
      <c r="C18" s="23"/>
      <c r="D18" s="23"/>
      <c r="E18" s="23"/>
      <c r="F18" s="23"/>
    </row>
    <row r="19" spans="1:6" x14ac:dyDescent="0.3">
      <c r="A19" s="23"/>
      <c r="B19" s="23"/>
      <c r="C19" s="23"/>
      <c r="D19" s="23"/>
      <c r="E19" s="23"/>
      <c r="F19" s="23"/>
    </row>
    <row r="20" spans="1:6" x14ac:dyDescent="0.3">
      <c r="A20" s="23"/>
      <c r="B20" s="23"/>
      <c r="C20" s="23"/>
      <c r="D20" s="23"/>
      <c r="E20" s="23"/>
      <c r="F20" s="23"/>
    </row>
  </sheetData>
  <printOptions horizontalCentered="1"/>
  <pageMargins left="0.51181102362204722" right="0.51181102362204722" top="0.78740157480314965" bottom="0.78740157480314965" header="0.31496062992125984" footer="0.31496062992125984"/>
  <pageSetup paperSize="9" orientation="landscape" r:id="rId1"/>
  <headerFooter>
    <oddFooter>&amp;LFORM.1532/REV.00/APROV.GLB/26/03/2026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FE53-E41C-485F-88D4-C624D86431F0}">
  <sheetPr>
    <pageSetUpPr fitToPage="1"/>
  </sheetPr>
  <dimension ref="A6:E15"/>
  <sheetViews>
    <sheetView showGridLines="0" view="pageBreakPreview" zoomScaleNormal="100" zoomScaleSheetLayoutView="100" workbookViewId="0">
      <selection activeCell="F19" sqref="F19"/>
    </sheetView>
  </sheetViews>
  <sheetFormatPr defaultRowHeight="14.4" x14ac:dyDescent="0.3"/>
  <cols>
    <col min="1" max="1" width="8.6640625" bestFit="1" customWidth="1"/>
    <col min="2" max="2" width="12" customWidth="1"/>
    <col min="3" max="3" width="26.33203125" bestFit="1" customWidth="1"/>
    <col min="4" max="4" width="27.109375" bestFit="1" customWidth="1"/>
    <col min="5" max="5" width="27.109375" customWidth="1"/>
    <col min="6" max="7" width="9" customWidth="1"/>
  </cols>
  <sheetData>
    <row r="6" spans="1:5" x14ac:dyDescent="0.3">
      <c r="A6" s="23" t="s">
        <v>0</v>
      </c>
      <c r="B6" s="23" t="s">
        <v>52</v>
      </c>
      <c r="C6" s="23" t="s">
        <v>57</v>
      </c>
      <c r="D6" s="23" t="s">
        <v>58</v>
      </c>
      <c r="E6" s="23" t="s">
        <v>59</v>
      </c>
    </row>
    <row r="7" spans="1:5" x14ac:dyDescent="0.3">
      <c r="A7" s="23"/>
      <c r="B7" s="23"/>
      <c r="C7" s="23"/>
      <c r="D7" s="23"/>
      <c r="E7" s="23"/>
    </row>
    <row r="8" spans="1:5" x14ac:dyDescent="0.3">
      <c r="A8" s="23"/>
      <c r="B8" s="23"/>
      <c r="C8" s="23"/>
      <c r="D8" s="23"/>
      <c r="E8" s="23"/>
    </row>
    <row r="9" spans="1:5" x14ac:dyDescent="0.3">
      <c r="A9" s="23"/>
      <c r="B9" s="23"/>
      <c r="C9" s="23"/>
      <c r="D9" s="23"/>
      <c r="E9" s="23"/>
    </row>
    <row r="10" spans="1:5" x14ac:dyDescent="0.3">
      <c r="A10" s="23"/>
      <c r="B10" s="23"/>
      <c r="C10" s="23"/>
      <c r="D10" s="23"/>
      <c r="E10" s="23"/>
    </row>
    <row r="11" spans="1:5" x14ac:dyDescent="0.3">
      <c r="A11" s="23"/>
      <c r="B11" s="23"/>
      <c r="C11" s="23"/>
      <c r="D11" s="23"/>
      <c r="E11" s="23"/>
    </row>
    <row r="12" spans="1:5" x14ac:dyDescent="0.3">
      <c r="A12" s="23"/>
      <c r="B12" s="23"/>
      <c r="C12" s="23"/>
      <c r="D12" s="23"/>
      <c r="E12" s="23"/>
    </row>
    <row r="13" spans="1:5" x14ac:dyDescent="0.3">
      <c r="A13" s="23"/>
      <c r="B13" s="23"/>
      <c r="C13" s="23"/>
      <c r="D13" s="23"/>
      <c r="E13" s="23"/>
    </row>
    <row r="14" spans="1:5" x14ac:dyDescent="0.3">
      <c r="A14" s="23"/>
      <c r="B14" s="23"/>
      <c r="C14" s="23"/>
      <c r="D14" s="23"/>
      <c r="E14" s="23"/>
    </row>
    <row r="15" spans="1:5" x14ac:dyDescent="0.3">
      <c r="A15" s="23"/>
      <c r="B15" s="23"/>
      <c r="C15" s="23"/>
      <c r="D15" s="23"/>
      <c r="E15" s="23"/>
    </row>
  </sheetData>
  <printOptions horizontalCentered="1"/>
  <pageMargins left="0.51181102362204722" right="0.51181102362204722" top="0.78740157480314965" bottom="0.78740157480314965" header="0.31496062992125984" footer="0.31496062992125984"/>
  <pageSetup paperSize="9" orientation="landscape" r:id="rId1"/>
  <headerFooter>
    <oddFooter>&amp;LFORM.1532/REV.00/APROV.GLB/26/03/2026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9945-B846-44B9-876C-C8168BF01C1A}">
  <sheetPr>
    <pageSetUpPr fitToPage="1"/>
  </sheetPr>
  <dimension ref="A5:F14"/>
  <sheetViews>
    <sheetView showGridLines="0" view="pageBreakPreview" zoomScaleNormal="100" zoomScaleSheetLayoutView="100" workbookViewId="0">
      <selection activeCell="F19" sqref="F19"/>
    </sheetView>
  </sheetViews>
  <sheetFormatPr defaultRowHeight="14.4" x14ac:dyDescent="0.3"/>
  <cols>
    <col min="1" max="1" width="8.6640625" bestFit="1" customWidth="1"/>
    <col min="2" max="2" width="10.109375" customWidth="1"/>
    <col min="3" max="3" width="24.88671875" bestFit="1" customWidth="1"/>
    <col min="4" max="4" width="21.109375" bestFit="1" customWidth="1"/>
    <col min="5" max="5" width="15.6640625" bestFit="1" customWidth="1"/>
    <col min="6" max="6" width="28.109375" bestFit="1" customWidth="1"/>
  </cols>
  <sheetData>
    <row r="5" spans="1:6" ht="4.8" customHeight="1" x14ac:dyDescent="0.3"/>
    <row r="6" spans="1:6" x14ac:dyDescent="0.3">
      <c r="A6" s="23" t="s">
        <v>0</v>
      </c>
      <c r="B6" s="23" t="s">
        <v>2</v>
      </c>
      <c r="C6" s="23" t="s">
        <v>60</v>
      </c>
      <c r="D6" s="23" t="s">
        <v>61</v>
      </c>
      <c r="E6" s="23" t="s">
        <v>62</v>
      </c>
      <c r="F6" s="23" t="s">
        <v>63</v>
      </c>
    </row>
    <row r="7" spans="1:6" x14ac:dyDescent="0.3">
      <c r="A7" s="23"/>
      <c r="B7" s="23"/>
      <c r="C7" s="23"/>
      <c r="D7" s="23"/>
      <c r="E7" s="23"/>
      <c r="F7" s="23"/>
    </row>
    <row r="8" spans="1:6" x14ac:dyDescent="0.3">
      <c r="A8" s="23"/>
      <c r="B8" s="23"/>
      <c r="C8" s="23"/>
      <c r="D8" s="23"/>
      <c r="E8" s="23"/>
      <c r="F8" s="23"/>
    </row>
    <row r="9" spans="1:6" x14ac:dyDescent="0.3">
      <c r="A9" s="23"/>
      <c r="B9" s="23"/>
      <c r="C9" s="23"/>
      <c r="D9" s="23"/>
      <c r="E9" s="23"/>
      <c r="F9" s="23"/>
    </row>
    <row r="10" spans="1:6" x14ac:dyDescent="0.3">
      <c r="A10" s="23"/>
      <c r="B10" s="23"/>
      <c r="C10" s="23"/>
      <c r="D10" s="23"/>
      <c r="E10" s="23"/>
      <c r="F10" s="23"/>
    </row>
    <row r="11" spans="1:6" x14ac:dyDescent="0.3">
      <c r="A11" s="23"/>
      <c r="B11" s="23"/>
      <c r="C11" s="23"/>
      <c r="D11" s="23"/>
      <c r="E11" s="23"/>
      <c r="F11" s="23"/>
    </row>
    <row r="12" spans="1:6" x14ac:dyDescent="0.3">
      <c r="A12" s="23"/>
      <c r="B12" s="23"/>
      <c r="C12" s="23"/>
      <c r="D12" s="23"/>
      <c r="E12" s="23"/>
      <c r="F12" s="23"/>
    </row>
    <row r="13" spans="1:6" x14ac:dyDescent="0.3">
      <c r="A13" s="23"/>
      <c r="B13" s="23"/>
      <c r="C13" s="23"/>
      <c r="D13" s="23"/>
      <c r="E13" s="23"/>
      <c r="F13" s="23"/>
    </row>
    <row r="14" spans="1:6" x14ac:dyDescent="0.3">
      <c r="A14" s="23"/>
      <c r="B14" s="23"/>
      <c r="C14" s="23"/>
      <c r="D14" s="23"/>
      <c r="E14" s="23"/>
      <c r="F14" s="23"/>
    </row>
  </sheetData>
  <printOptions horizontalCentered="1"/>
  <pageMargins left="0.51181102362204722" right="0.51181102362204722" top="0.78740157480314965" bottom="0.78740157480314965" header="0.31496062992125984" footer="0.31496062992125984"/>
  <pageSetup paperSize="9" orientation="landscape" r:id="rId1"/>
  <headerFooter>
    <oddFooter>&amp;LFORM.1532/REV.00/APROV.GLB/26/03/2026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A1C07-B3B0-4B58-808F-85DC8BEFEC0E}">
  <sheetPr>
    <pageSetUpPr fitToPage="1"/>
  </sheetPr>
  <dimension ref="A5:F15"/>
  <sheetViews>
    <sheetView showGridLines="0" workbookViewId="0">
      <selection activeCell="F19" sqref="F19"/>
    </sheetView>
  </sheetViews>
  <sheetFormatPr defaultRowHeight="14.4" x14ac:dyDescent="0.3"/>
  <cols>
    <col min="1" max="1" width="8.6640625" bestFit="1" customWidth="1"/>
    <col min="2" max="2" width="8.5546875" customWidth="1"/>
    <col min="3" max="3" width="24.88671875" bestFit="1" customWidth="1"/>
    <col min="4" max="4" width="34.88671875" bestFit="1" customWidth="1"/>
    <col min="5" max="5" width="33.33203125" bestFit="1" customWidth="1"/>
    <col min="6" max="6" width="34.88671875" bestFit="1" customWidth="1"/>
  </cols>
  <sheetData>
    <row r="5" spans="1:6" x14ac:dyDescent="0.3">
      <c r="A5" s="28" t="s">
        <v>64</v>
      </c>
      <c r="B5" s="28"/>
      <c r="C5" s="28"/>
      <c r="D5" s="28"/>
      <c r="E5" s="28"/>
      <c r="F5" s="28"/>
    </row>
    <row r="6" spans="1:6" x14ac:dyDescent="0.3">
      <c r="A6" s="23" t="s">
        <v>0</v>
      </c>
      <c r="B6" s="23" t="s">
        <v>52</v>
      </c>
      <c r="C6" s="23" t="s">
        <v>65</v>
      </c>
      <c r="D6" s="23" t="s">
        <v>66</v>
      </c>
      <c r="E6" s="23" t="s">
        <v>67</v>
      </c>
      <c r="F6" s="23" t="s">
        <v>68</v>
      </c>
    </row>
    <row r="7" spans="1:6" x14ac:dyDescent="0.3">
      <c r="A7" s="23"/>
      <c r="B7" s="23"/>
      <c r="C7" s="23"/>
      <c r="D7" s="23"/>
      <c r="E7" s="23"/>
      <c r="F7" s="23"/>
    </row>
    <row r="8" spans="1:6" x14ac:dyDescent="0.3">
      <c r="A8" s="23"/>
      <c r="B8" s="23"/>
      <c r="C8" s="23"/>
      <c r="D8" s="23"/>
      <c r="E8" s="23"/>
      <c r="F8" s="23"/>
    </row>
    <row r="9" spans="1:6" x14ac:dyDescent="0.3">
      <c r="A9" s="23"/>
      <c r="B9" s="23"/>
      <c r="C9" s="23"/>
      <c r="D9" s="23"/>
      <c r="E9" s="23"/>
      <c r="F9" s="23"/>
    </row>
    <row r="10" spans="1:6" x14ac:dyDescent="0.3">
      <c r="A10" s="23"/>
      <c r="B10" s="23"/>
      <c r="C10" s="23"/>
      <c r="D10" s="23"/>
      <c r="E10" s="23"/>
      <c r="F10" s="23"/>
    </row>
    <row r="11" spans="1:6" x14ac:dyDescent="0.3">
      <c r="A11" s="23"/>
      <c r="B11" s="23"/>
      <c r="C11" s="23"/>
      <c r="D11" s="23"/>
      <c r="E11" s="23"/>
      <c r="F11" s="23"/>
    </row>
    <row r="12" spans="1:6" x14ac:dyDescent="0.3">
      <c r="A12" s="23"/>
      <c r="B12" s="23"/>
      <c r="C12" s="23"/>
      <c r="D12" s="23"/>
      <c r="E12" s="23"/>
      <c r="F12" s="23"/>
    </row>
    <row r="13" spans="1:6" x14ac:dyDescent="0.3">
      <c r="A13" s="23"/>
      <c r="B13" s="23"/>
      <c r="C13" s="23"/>
      <c r="D13" s="23"/>
      <c r="E13" s="23"/>
      <c r="F13" s="23"/>
    </row>
    <row r="14" spans="1:6" x14ac:dyDescent="0.3">
      <c r="A14" s="23"/>
      <c r="B14" s="23"/>
      <c r="C14" s="23"/>
      <c r="D14" s="23"/>
      <c r="E14" s="23"/>
      <c r="F14" s="23"/>
    </row>
    <row r="15" spans="1:6" x14ac:dyDescent="0.3">
      <c r="A15" s="23"/>
      <c r="B15" s="23"/>
      <c r="C15" s="23"/>
      <c r="D15" s="23"/>
      <c r="E15" s="23"/>
      <c r="F15" s="23"/>
    </row>
  </sheetData>
  <mergeCells count="1">
    <mergeCell ref="A5:F5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88" orientation="landscape" r:id="rId1"/>
  <headerFooter>
    <oddFooter>&amp;LFORM.1532/REV.00/APROV.GLB/26/03/2026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C2B7DABDC6A8418A2A70181F9ADE0A" ma:contentTypeVersion="3" ma:contentTypeDescription="Create a new document." ma:contentTypeScope="" ma:versionID="b4cbcab2029f18021abdec0c9964e3e2">
  <xsd:schema xmlns:xsd="http://www.w3.org/2001/XMLSchema" xmlns:xs="http://www.w3.org/2001/XMLSchema" xmlns:p="http://schemas.microsoft.com/office/2006/metadata/properties" xmlns:ns2="a1ed36a2-6a95-425c-8208-8624cde4a48d" targetNamespace="http://schemas.microsoft.com/office/2006/metadata/properties" ma:root="true" ma:fieldsID="1e790e00fcd770b370b26260c52eb1b7" ns2:_="">
    <xsd:import namespace="a1ed36a2-6a95-425c-8208-8624cde4a4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d36a2-6a95-425c-8208-8624cde4a4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1E6E94-40B1-4AC6-89A3-E0CFB039D3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43F77E-4B58-40A0-9913-532B6940B2F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0695267-9B34-430E-A4EB-299826C33E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d36a2-6a95-425c-8208-8624cde4a4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6</vt:i4>
      </vt:variant>
    </vt:vector>
  </HeadingPairs>
  <TitlesOfParts>
    <vt:vector size="14" baseType="lpstr">
      <vt:lpstr>ACIDENTES C AFASTAMENTO</vt:lpstr>
      <vt:lpstr>ACIDENTES S AFASTAMENTO</vt:lpstr>
      <vt:lpstr>Observatório de Segurança</vt:lpstr>
      <vt:lpstr>AUD COMP</vt:lpstr>
      <vt:lpstr>AÇÕES CORRETIVAS</vt:lpstr>
      <vt:lpstr>PROGRAMAS</vt:lpstr>
      <vt:lpstr>GARANTIA DE QUA DE VIDA</vt:lpstr>
      <vt:lpstr>CONFORMIDADE LEGAL</vt:lpstr>
      <vt:lpstr>'ACIDENTES C AFASTAMENTO'!Area_de_impressao</vt:lpstr>
      <vt:lpstr>'ACIDENTES S AFASTAMENTO'!Area_de_impressao</vt:lpstr>
      <vt:lpstr>'AÇÕES CORRETIVAS'!Area_de_impressao</vt:lpstr>
      <vt:lpstr>'AUD COMP'!Area_de_impressao</vt:lpstr>
      <vt:lpstr>'GARANTIA DE QUA DE VIDA'!Area_de_impressao</vt:lpstr>
      <vt:lpstr>PROGRAMAS!Area_de_impressao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CAMILLY BEATRIZ ARAÚJO ALVES</dc:creator>
  <cp:keywords/>
  <dc:description/>
  <cp:lastModifiedBy>LUCIANA PAULA DOS SANTOS DE SOUZA</cp:lastModifiedBy>
  <cp:revision/>
  <cp:lastPrinted>2026-03-26T12:11:57Z</cp:lastPrinted>
  <dcterms:created xsi:type="dcterms:W3CDTF">2025-12-04T11:32:51Z</dcterms:created>
  <dcterms:modified xsi:type="dcterms:W3CDTF">2026-03-31T13:57:06Z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0x010100D4C2B7DABDC6A8418A2A70181F9ADE0A</vt:lpwstr>
  </property>
</Properties>
</file>